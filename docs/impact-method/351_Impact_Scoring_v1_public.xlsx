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Costs &amp; multiplier" sheetId="3" state="visible" r:id="rId5"/>
    <sheet name="Weights" sheetId="4" state="visible" r:id="rId6"/>
    <sheet name="Stories" sheetId="5" state="visible" r:id="rId7"/>
    <sheet name="Records" sheetId="6" state="visible" r:id="rId8"/>
    <sheet name="Survey" sheetId="7" state="visible" r:id="rId9"/>
  </sheets>
  <definedNames>
    <definedName function="false" hidden="true" localSheetId="4" name="_xlnm._FilterDatabase" vbProcedure="false">Stories!$A$1:$S$88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<sst xmlns="http://schemas.openxmlformats.org/spreadsheetml/2006/main" count="1243" uniqueCount="566">
  <si>
    <t xml:space="preserve">351 Impact Scoring — v1 (28 Oct 2026)</t>
  </si>
  <si>
    <t xml:space="preserve">What this is: every 351 success story and record-based outcome, scored the Founders Pledge way.</t>
  </si>
  <si>
    <t xml:space="preserve">Impact points (Founder Steps) = Outcome weight × Evidence weight × 351 share. Method doc: "351 Impact Method" (Claude Docs).</t>
  </si>
  <si>
    <t xml:space="preserve">HOW TO USE</t>
  </si>
  <si>
    <t xml:space="preserve">1. Yellow cells are inputs. Everything else is a formula — do not type over it.</t>
  </si>
  <si>
    <t xml:space="preserve">2. Weights tab: change any weight and every score updates.</t>
  </si>
  <si>
    <t xml:space="preserve">3. Stories tab: add new stories at the bottom (copy the formulas in columns N–R from the row above). Fill column L when a survey answer arrives.</t>
  </si>
  <si>
    <t xml:space="preserve">4. Costs &amp; multiplier tab: fill the yellow costs and values — € per Founder Step and the multiplier appear on their own.</t>
  </si>
  <si>
    <t xml:space="preserve">5. Summary tab: the numbers for funders.</t>
  </si>
  <si>
    <t xml:space="preserve">EXAMPLE ROW (Stories tab format)</t>
  </si>
  <si>
    <t xml:space="preserve">ID: ST99 · Year: 2026 · Who: Founder of Acme (example) · Initiative: Startup Weekend Porto · What changed: Raised €150k pre-seed · Code: S3 · Stage: Company Creation · Core team: N · Grade: B · Evidence: her LinkedIn post · Role: Contributing · Survey: Probably not</t>
  </si>
  <si>
    <t xml:space="preserve">OUTCOME CODES</t>
  </si>
  <si>
    <t xml:space="preserve">S1 created · S2 next programme · S3 traction · S4 award/shortlist · J job · N partner/co-founder/client/hire · L new leader or initiative · C continued in the 351 funnel · V felt value · R member recognition</t>
  </si>
  <si>
    <t xml:space="preserve">Not counted: X team award/credibility · O benefit given (ticket, perk) · Q needs info. A row with "Duplicate of" filled is not counted again.</t>
  </si>
  <si>
    <t xml:space="preserve">SOURCES</t>
  </si>
  <si>
    <t xml:space="preserve">Stories: Google Sheet "351 Success Stories" (tabs Stories + Great posts), read 28 Oct 2026; coded by Claude, to be checked by the 351 team.</t>
  </si>
  <si>
    <t xml:space="preserve">PUBLIC VERSION: people are anonymised (roles only). Scores are identical to the private sheet. The named version is kept privately by 351.</t>
  </si>
  <si>
    <t xml:space="preserve">Records: 351_PRR_5196_Evidencias.xlsx (PRR Impact folder), tabs Resumo, Startups constituídas, Continuidade do apoio; read 28 Oct 2026.</t>
  </si>
  <si>
    <t xml:space="preserve">351 impact — summary</t>
  </si>
  <si>
    <t xml:space="preserve">Code</t>
  </si>
  <si>
    <t xml:space="preserve">Outcome</t>
  </si>
  <si>
    <t xml:space="preserve">Stories counted</t>
  </si>
  <si>
    <t xml:space="preserve">From records</t>
  </si>
  <si>
    <t xml:space="preserve">Total outcomes</t>
  </si>
  <si>
    <t xml:space="preserve">Impact points (Founder Steps)</t>
  </si>
  <si>
    <t xml:space="preserve">Share of points</t>
  </si>
  <si>
    <t xml:space="preserve">S1</t>
  </si>
  <si>
    <t xml:space="preserve">Startup created / idea validated</t>
  </si>
  <si>
    <t xml:space="preserve">S2</t>
  </si>
  <si>
    <t xml:space="preserve">Startup moved to next programme (incubator, accelerator)</t>
  </si>
  <si>
    <t xml:space="preserve">S3</t>
  </si>
  <si>
    <t xml:space="preserve">Traction: launch, pilot, revenue, funding</t>
  </si>
  <si>
    <t xml:space="preserve">S4</t>
  </si>
  <si>
    <t xml:space="preserve">Award or shortlist</t>
  </si>
  <si>
    <t xml:space="preserve">J</t>
  </si>
  <si>
    <t xml:space="preserve">Job or career move through 351</t>
  </si>
  <si>
    <t xml:space="preserve">N</t>
  </si>
  <si>
    <t xml:space="preserve">Partner, co-founder, client or hire found through 351</t>
  </si>
  <si>
    <t xml:space="preserve">L</t>
  </si>
  <si>
    <t xml:space="preserve">New community leader or initiative</t>
  </si>
  <si>
    <t xml:space="preserve">C</t>
  </si>
  <si>
    <t xml:space="preserve">Continued in another 351 programme</t>
  </si>
  <si>
    <t xml:space="preserve">V</t>
  </si>
  <si>
    <t xml:space="preserve">Felt value / learning (testimonial)</t>
  </si>
  <si>
    <t xml:space="preserve">R</t>
  </si>
  <si>
    <t xml:space="preserve">Recognition of a community member</t>
  </si>
  <si>
    <t xml:space="preserve">Total</t>
  </si>
  <si>
    <t xml:space="preserve">Evidence quality of counted stories</t>
  </si>
  <si>
    <t xml:space="preserve">Grade</t>
  </si>
  <si>
    <t xml:space="preserve">Stories</t>
  </si>
  <si>
    <t xml:space="preserve">Share</t>
  </si>
  <si>
    <t xml:space="preserve">A</t>
  </si>
  <si>
    <t xml:space="preserve">B</t>
  </si>
  <si>
    <t xml:space="preserve">Other checks</t>
  </si>
  <si>
    <t xml:space="preserve">Story rows in total</t>
  </si>
  <si>
    <t xml:space="preserve">Rows not counted: team credibility (X)</t>
  </si>
  <si>
    <t xml:space="preserve">Rows not counted: benefit given (O)</t>
  </si>
  <si>
    <t xml:space="preserve">Rows not counted: needs info (Q)</t>
  </si>
  <si>
    <t xml:space="preserve">Rows not counted: duplicate of another row</t>
  </si>
  <si>
    <t xml:space="preserve">Story rows counted</t>
  </si>
  <si>
    <t xml:space="preserve">Counted stories about the core team</t>
  </si>
  <si>
    <t xml:space="preserve">Survey answers received</t>
  </si>
  <si>
    <t xml:space="preserve">Extra points if every C story got a quote (C → B)</t>
  </si>
  <si>
    <t xml:space="preserve">Costs, € per Founder Step and the €1 → €X multiplier</t>
  </si>
  <si>
    <t xml:space="preserve">Fill the yellow cells for the SAME period as the stories (suggested: 1 Jan 2025 – 31 Dec 2025). Leave blank what you do not know — results show "—".</t>
  </si>
  <si>
    <t xml:space="preserve">351 cash costs (€)</t>
  </si>
  <si>
    <t xml:space="preserve">Amount (€)</t>
  </si>
  <si>
    <t xml:space="preserve">Source / note</t>
  </si>
  <si>
    <t xml:space="preserve">Techstars Startup Weekends</t>
  </si>
  <si>
    <t xml:space="preserve">Coworking Thursdays</t>
  </si>
  <si>
    <t xml:space="preserve">Portugal Tech Week</t>
  </si>
  <si>
    <t xml:space="preserve">Community Leaders Academy</t>
  </si>
  <si>
    <t xml:space="preserve">Startuppers + Startup Clinics</t>
  </si>
  <si>
    <t xml:space="preserve">Founder Institute Portugal</t>
  </si>
  <si>
    <t xml:space="preserve">Community (Slack, newsletter, tools)</t>
  </si>
  <si>
    <t xml:space="preserve">Paid staff and admin</t>
  </si>
  <si>
    <t xml:space="preserve">Other</t>
  </si>
  <si>
    <t xml:space="preserve">Total 351 cash cost</t>
  </si>
  <si>
    <t xml:space="preserve">Value 351 unlocked (€)</t>
  </si>
  <si>
    <t xml:space="preserve">Amount</t>
  </si>
  <si>
    <t xml:space="preserve">Volunteer hours (number)</t>
  </si>
  <si>
    <t xml:space="preserve">Count: volunteers × hours per month × months</t>
  </si>
  <si>
    <t xml:space="preserve">Value of one volunteer hour (€)</t>
  </si>
  <si>
    <t xml:space="preserve">Use a public reference (e.g. average hourly wage in Portugal, INE) and cite it</t>
  </si>
  <si>
    <t xml:space="preserve">Volunteer time value</t>
  </si>
  <si>
    <t xml:space="preserve">Partner in-kind (venues, catering, mentors, perks actually used)</t>
  </si>
  <si>
    <t xml:space="preserve">Perks: count credits USED, not the "€700k available" headline</t>
  </si>
  <si>
    <t xml:space="preserve">Partner cash into 351 programmes (sponsors)</t>
  </si>
  <si>
    <t xml:space="preserve">Capital raised by alumni startups</t>
  </si>
  <si>
    <t xml:space="preserve">Only rounds with a public source</t>
  </si>
  <si>
    <t xml:space="preserve">351 share of alumni capital</t>
  </si>
  <si>
    <t xml:space="preserve">Same idea as the 351 share on stories (default = Contributing 0.25)</t>
  </si>
  <si>
    <t xml:space="preserve">Alumni capital credited to 351</t>
  </si>
  <si>
    <t xml:space="preserve">Total value unlocked</t>
  </si>
  <si>
    <t xml:space="preserve">Results</t>
  </si>
  <si>
    <t xml:space="preserve">Value</t>
  </si>
  <si>
    <t xml:space="preserve">How it is read</t>
  </si>
  <si>
    <t xml:space="preserve">Impact points (Founder Steps), from Summary</t>
  </si>
  <si>
    <t xml:space="preserve">€ per Founder Step</t>
  </si>
  <si>
    <t xml:space="preserve">What it costs 351 to move one founder one real step</t>
  </si>
  <si>
    <t xml:space="preserve">Multiplier: every €1 to 351 unlocks</t>
  </si>
  <si>
    <t xml:space="preserve">Like Founders Pledge "$1 → $31.10 moved"</t>
  </si>
  <si>
    <t xml:space="preserve">Next €50k buys about (Founder Steps)</t>
  </si>
  <si>
    <t xml:space="preserve">Average-cost estimate; refine per programme (see method doc, "What the next €50k buys")</t>
  </si>
  <si>
    <t xml:space="preserve">Weights (edit the yellow cells)</t>
  </si>
  <si>
    <t xml:space="preserve">Outcome weights — Founder Steps</t>
  </si>
  <si>
    <t xml:space="preserve">Weight</t>
  </si>
  <si>
    <t xml:space="preserve">Counted?</t>
  </si>
  <si>
    <t xml:space="preserve">Yes</t>
  </si>
  <si>
    <t xml:space="preserve">Yes, low weight</t>
  </si>
  <si>
    <t xml:space="preserve">X</t>
  </si>
  <si>
    <t xml:space="preserve">Team award / credibility</t>
  </si>
  <si>
    <t xml:space="preserve">No</t>
  </si>
  <si>
    <t xml:space="preserve">O</t>
  </si>
  <si>
    <t xml:space="preserve">Benefit given (ticket, perk)</t>
  </si>
  <si>
    <t xml:space="preserve">Q</t>
  </si>
  <si>
    <t xml:space="preserve">Needs info</t>
  </si>
  <si>
    <t xml:space="preserve">Evidence weights (confidence discount)</t>
  </si>
  <si>
    <t xml:space="preserve">Meaning</t>
  </si>
  <si>
    <t xml:space="preserve">351 records with names, or an independent page (press, official site)</t>
  </si>
  <si>
    <t xml:space="preserve">The person's own public post or written message</t>
  </si>
  <si>
    <t xml:space="preserve">Told by the team, no link or record</t>
  </si>
  <si>
    <t xml:space="preserve">351 share before a survey answer (from 351's role)</t>
  </si>
  <si>
    <t xml:space="preserve">Role</t>
  </si>
  <si>
    <t xml:space="preserve">Direct</t>
  </si>
  <si>
    <t xml:space="preserve">The 351 programme or referral was the key step</t>
  </si>
  <si>
    <t xml:space="preserve">Contributing</t>
  </si>
  <si>
    <t xml:space="preserve">One of several inputs</t>
  </si>
  <si>
    <t xml:space="preserve">Unclear</t>
  </si>
  <si>
    <t xml:space="preserve">Role not known</t>
  </si>
  <si>
    <t xml:space="preserve">351 share from the survey: 'Would this have happened without 351?'</t>
  </si>
  <si>
    <t xml:space="preserve">Answer</t>
  </si>
  <si>
    <t xml:space="preserve">Why</t>
  </si>
  <si>
    <t xml:space="preserve">No, definitely not</t>
  </si>
  <si>
    <t xml:space="preserve">Capped below 1.0: people credit whoever asks</t>
  </si>
  <si>
    <t xml:space="preserve">Probably not</t>
  </si>
  <si>
    <t xml:space="preserve">Yes, but later or smaller</t>
  </si>
  <si>
    <t xml:space="preserve">Yes, the same anyway</t>
  </si>
  <si>
    <t xml:space="preserve">No credit to 351</t>
  </si>
  <si>
    <t xml:space="preserve">Weights are a judgement call (ours, 28 Oct 2026), modelled on Founders Pledge confidence discounts. Change them and every score updates.</t>
  </si>
  <si>
    <t xml:space="preserve">ID</t>
  </si>
  <si>
    <t xml:space="preserve">Year</t>
  </si>
  <si>
    <t xml:space="preserve">Who</t>
  </si>
  <si>
    <t xml:space="preserve">Initiative</t>
  </si>
  <si>
    <t xml:space="preserve">What changed</t>
  </si>
  <si>
    <t xml:space="preserve">Outcome code</t>
  </si>
  <si>
    <t xml:space="preserve">Funnel stage</t>
  </si>
  <si>
    <t xml:space="preserve">Core team?</t>
  </si>
  <si>
    <t xml:space="preserve">Evidence grade</t>
  </si>
  <si>
    <t xml:space="preserve">Evidence / source</t>
  </si>
  <si>
    <t xml:space="preserve">351 role</t>
  </si>
  <si>
    <t xml:space="preserve">Survey answer (input)</t>
  </si>
  <si>
    <t xml:space="preserve">Duplicate of</t>
  </si>
  <si>
    <t xml:space="preserve">Counted? (1/0)</t>
  </si>
  <si>
    <t xml:space="preserve">Outcome weight</t>
  </si>
  <si>
    <t xml:space="preserve">Evidence weight</t>
  </si>
  <si>
    <t xml:space="preserve">351 share</t>
  </si>
  <si>
    <t xml:space="preserve">Next action</t>
  </si>
  <si>
    <t xml:space="preserve">ST01</t>
  </si>
  <si>
    <t xml:space="preserve">2026</t>
  </si>
  <si>
    <t xml:space="preserve">Member (351 Slack)</t>
  </si>
  <si>
    <t xml:space="preserve">351 Slack</t>
  </si>
  <si>
    <t xml:space="preserve">Found a web designer, content manager, video editor, Meta Ads buyer and a client through 351 Slack in 12 months</t>
  </si>
  <si>
    <t xml:space="preserve">Community Building</t>
  </si>
  <si>
    <t xml:space="preserve">Own Slack post (screenshot in Drive)</t>
  </si>
  <si>
    <t xml:space="preserve">Ask for count of hires and client value</t>
  </si>
  <si>
    <t xml:space="preserve">ST02</t>
  </si>
  <si>
    <t xml:space="preserve">Founders of Menostart (SW Coimbra)</t>
  </si>
  <si>
    <t xml:space="preserve">Startup Weekend Coimbra</t>
  </si>
  <si>
    <t xml:space="preserve">Building Menostart, a menopause health platform; featured by Coimbra Coolectiva</t>
  </si>
  <si>
    <t xml:space="preserve">Ideation</t>
  </si>
  <si>
    <t xml:space="preserve">Press: coimbracoolectiva.pt + LinkedIn; in PRR startups list</t>
  </si>
  <si>
    <t xml:space="preserve">REC-S1</t>
  </si>
  <si>
    <t xml:space="preserve">Counted in records; keep as illustration</t>
  </si>
  <si>
    <t xml:space="preserve">ST03</t>
  </si>
  <si>
    <t xml:space="preserve">Founder of Lunia (Tech Days Viana)</t>
  </si>
  <si>
    <t xml:space="preserve">Tech Days Viana do Castelo</t>
  </si>
  <si>
    <t xml:space="preserve">2025 pitch winner Lunia has a prototype online and is raising a €300k pre-seed</t>
  </si>
  <si>
    <t xml:space="preserve">Company Creation</t>
  </si>
  <si>
    <t xml:space="preserve">Press: Portugal Startup News, 7 Jun 2026</t>
  </si>
  <si>
    <t xml:space="preserve">Ask if round closed and amount</t>
  </si>
  <si>
    <t xml:space="preserve">ST04</t>
  </si>
  <si>
    <t xml:space="preserve">Coworking host</t>
  </si>
  <si>
    <t xml:space="preserve">Coworking Thursdays, CLA</t>
  </si>
  <si>
    <t xml:space="preserve">Hosted CT, was introduced to Unicorn Factory, now runs a hub with them; now sponsors 351</t>
  </si>
  <si>
    <t xml:space="preserve">Ecosystem Enablement</t>
  </si>
  <si>
    <t xml:space="preserve">Team account</t>
  </si>
  <si>
    <t xml:space="preserve">Get a quote + hub name/date</t>
  </si>
  <si>
    <t xml:space="preserve">ST05</t>
  </si>
  <si>
    <t xml:space="preserve">Two Coworking Thursdays members</t>
  </si>
  <si>
    <t xml:space="preserve">Met at CT and became business partners</t>
  </si>
  <si>
    <t xml:space="preserve">Get a quote or LinkedIn post</t>
  </si>
  <si>
    <t xml:space="preserve">ST06</t>
  </si>
  <si>
    <t xml:space="preserve">Founder team (Coworking Thursdays regulars)</t>
  </si>
  <si>
    <t xml:space="preserve">Coworking Thursdays → Startup Weekend</t>
  </si>
  <si>
    <t xml:space="preserve">Years at CT, then 3rd place at a Startup Weekend; building MVP for a Dubai competition</t>
  </si>
  <si>
    <t xml:space="preserve">LinkedIn post (founder)</t>
  </si>
  <si>
    <t xml:space="preserve">Check the startup is in the REC-S1 list; ask current stage</t>
  </si>
  <si>
    <t xml:space="preserve">ST07</t>
  </si>
  <si>
    <t xml:space="preserve">Two Critical Software employees</t>
  </si>
  <si>
    <t xml:space="preserve">Startup Weekend Porto</t>
  </si>
  <si>
    <t xml:space="preserve">Critical Software staff won SW Porto, became internal role models, pitched at Elevador Santa Luzia</t>
  </si>
  <si>
    <t xml:space="preserve">Team account; Critical use case in 351 pitch deck</t>
  </si>
  <si>
    <t xml:space="preserve">Get Critical's confirmation</t>
  </si>
  <si>
    <t xml:space="preserve">ST08</t>
  </si>
  <si>
    <t xml:space="preserve">Workshop volunteer</t>
  </si>
  <si>
    <t xml:space="preserve">Workshops → Startup Weekend Lisbon</t>
  </si>
  <si>
    <t xml:space="preserve">Workshop volunteer joined SW Lisbon last minute, won 1st place, now building the business</t>
  </si>
  <si>
    <t xml:space="preserve">Check it is in REC-S1 (SW Lisboa 2024); get stage</t>
  </si>
  <si>
    <t xml:space="preserve">ST09</t>
  </si>
  <si>
    <t xml:space="preserve">Weekend participant, now volunteer lead</t>
  </si>
  <si>
    <t xml:space="preserve">Joined SW Porto, became a volunteer lead: CT Porto, manages volunteers, taking SW to Braga</t>
  </si>
  <si>
    <t xml:space="preserve">Count events led</t>
  </si>
  <si>
    <t xml:space="preserve">ST10</t>
  </si>
  <si>
    <t xml:space="preserve">Weekend participant</t>
  </si>
  <si>
    <t xml:space="preserve">Startup Weekend Lisbon</t>
  </si>
  <si>
    <t xml:space="preserve">After SW Lisbon, helps build membership + Startup School; their startup continued in Startuppers</t>
  </si>
  <si>
    <t xml:space="preserve">PRR evidence file (Continuidade do apoio)</t>
  </si>
  <si>
    <t xml:space="preserve">ST11</t>
  </si>
  <si>
    <t xml:space="preserve">351 team member</t>
  </si>
  <si>
    <t xml:space="preserve">Moderators + Startup Grind</t>
  </si>
  <si>
    <t xml:space="preserve">Referred to Acredita Portugal, later Beta-i; brought 351 an MoU with SEBRAE</t>
  </si>
  <si>
    <t xml:space="preserve">Y</t>
  </si>
  <si>
    <t xml:space="preserve">ST12</t>
  </si>
  <si>
    <t xml:space="preserve">351 moderator</t>
  </si>
  <si>
    <t xml:space="preserve">Moderators</t>
  </si>
  <si>
    <t xml:space="preserve">Referred to Acredita Portugal team</t>
  </si>
  <si>
    <t xml:space="preserve">Confirm role + date</t>
  </si>
  <si>
    <t xml:space="preserve">ST13</t>
  </si>
  <si>
    <t xml:space="preserve">CT volunteer → moderator → represents 351 at national and international events</t>
  </si>
  <si>
    <t xml:space="preserve">ST14</t>
  </si>
  <si>
    <t xml:space="preserve">PTW + CT + Moderators</t>
  </si>
  <si>
    <t xml:space="preserve">Put forward for roles; Portuguese Women in Tech award 2024 (Community Lead)</t>
  </si>
  <si>
    <t xml:space="preserve">351 Impact Review 2024</t>
  </si>
  <si>
    <t xml:space="preserve">Report as credibility</t>
  </si>
  <si>
    <t xml:space="preserve">ST15</t>
  </si>
  <si>
    <t xml:space="preserve">Two 351 team members</t>
  </si>
  <si>
    <t xml:space="preserve">Moderators + CT</t>
  </si>
  <si>
    <t xml:space="preserve">Met in the 351 team and co-founded a startup; one joined the ESN board</t>
  </si>
  <si>
    <t xml:space="preserve">Get founding date</t>
  </si>
  <si>
    <t xml:space="preserve">ST16</t>
  </si>
  <si>
    <t xml:space="preserve">Portuguese Women in Tech award 2023; co-founder of the startup in ST15</t>
  </si>
  <si>
    <t xml:space="preserve">Same outcome as ST15</t>
  </si>
  <si>
    <t xml:space="preserve">ST17</t>
  </si>
  <si>
    <t xml:space="preserve">Weekend volunteer</t>
  </si>
  <si>
    <t xml:space="preserve">Startup Weekends (volunteer)</t>
  </si>
  <si>
    <t xml:space="preserve">Met an UltraVC partner while volunteering; offered a full-time job</t>
  </si>
  <si>
    <t xml:space="preserve">ST18</t>
  </si>
  <si>
    <t xml:space="preserve">Represented 351 at YEPA / OECD; speaking and government ties</t>
  </si>
  <si>
    <t xml:space="preserve">ST19</t>
  </si>
  <si>
    <t xml:space="preserve">Startup Grind volunteer</t>
  </si>
  <si>
    <t xml:space="preserve">Startup Grind Lisbon</t>
  </si>
  <si>
    <t xml:space="preserve">Volunteered ~4 months, then hired by Acredita Portugal</t>
  </si>
  <si>
    <t xml:space="preserve">ST20</t>
  </si>
  <si>
    <t xml:space="preserve">Volunteered, then hired by Unicorn Factory Lisboa</t>
  </si>
  <si>
    <t xml:space="preserve">ST21</t>
  </si>
  <si>
    <t xml:space="preserve">CLA participant</t>
  </si>
  <si>
    <t xml:space="preserve">Met leaders at CLA; now co-runs initiatives in other regions (e.g. SW Loulé Women)</t>
  </si>
  <si>
    <t xml:space="preserve">LinkedIn posts (participant)</t>
  </si>
  <si>
    <t xml:space="preserve">Count initiatives started</t>
  </si>
  <si>
    <t xml:space="preserve">ST22</t>
  </si>
  <si>
    <t xml:space="preserve">CT &amp; CLA</t>
  </si>
  <si>
    <t xml:space="preserve">Met leaders at CLA; runs initiatives with them in other regions</t>
  </si>
  <si>
    <t xml:space="preserve">Name the initiatives</t>
  </si>
  <si>
    <t xml:space="preserve">ST23</t>
  </si>
  <si>
    <t xml:space="preserve">CLA participant (corporate)</t>
  </si>
  <si>
    <t xml:space="preserve">CLA</t>
  </si>
  <si>
    <t xml:space="preserve">Became 351's champion inside Altice → led to PTW House powered by MEO</t>
  </si>
  <si>
    <t xml:space="preserve">Add MEO sponsorship value to leverage</t>
  </si>
  <si>
    <t xml:space="preserve">ST24</t>
  </si>
  <si>
    <t xml:space="preserve">2025</t>
  </si>
  <si>
    <t xml:space="preserve">Ironhack students (team 1)</t>
  </si>
  <si>
    <t xml:space="preserve">Student visual identity for PTW was implemented</t>
  </si>
  <si>
    <t xml:space="preserve">Education</t>
  </si>
  <si>
    <t xml:space="preserve">ST25</t>
  </si>
  <si>
    <t xml:space="preserve">Ironhack students (team 2)</t>
  </si>
  <si>
    <t xml:space="preserve">PTW identity project elected best project at Ironhack</t>
  </si>
  <si>
    <t xml:space="preserve">Same project as ST24</t>
  </si>
  <si>
    <t xml:space="preserve">ST26</t>
  </si>
  <si>
    <t xml:space="preserve">PTW volunteer</t>
  </si>
  <si>
    <t xml:space="preserve">PTW volunteer, then recommended into a scaleup job</t>
  </si>
  <si>
    <t xml:space="preserve">Confirm company + date</t>
  </si>
  <si>
    <t xml:space="preserve">ST27</t>
  </si>
  <si>
    <t xml:space="preserve">CreativeMornings volunteer</t>
  </si>
  <si>
    <t xml:space="preserve">CreativeMornings Lisbon</t>
  </si>
  <si>
    <t xml:space="preserve">Videographer volunteer 2 years; referred to two jobs (Startup Genome, SIM)</t>
  </si>
  <si>
    <t xml:space="preserve">ST28</t>
  </si>
  <si>
    <t xml:space="preserve">Software house owner</t>
  </si>
  <si>
    <t xml:space="preserve">His software house was referred to build a platform for NEST</t>
  </si>
  <si>
    <t xml:space="preserve">Get contract value</t>
  </si>
  <si>
    <t xml:space="preserve">ST29</t>
  </si>
  <si>
    <t xml:space="preserve">All teams, SW Évora</t>
  </si>
  <si>
    <t xml:space="preserve">Startup Weekend Évora</t>
  </si>
  <si>
    <t xml:space="preserve">All teams received a social incubation voucher at Fundação Eugénio de Almeida</t>
  </si>
  <si>
    <t xml:space="preserve">LinkedIn posts (two founders)</t>
  </si>
  <si>
    <t xml:space="preserve">Get the voucher letter</t>
  </si>
  <si>
    <t xml:space="preserve">ST30</t>
  </si>
  <si>
    <t xml:space="preserve">PTW + Membership</t>
  </si>
  <si>
    <t xml:space="preserve">Referred to Imatch; now organises SIMCONF and other projects</t>
  </si>
  <si>
    <t xml:space="preserve">ST31</t>
  </si>
  <si>
    <t xml:space="preserve">Startuppers participant</t>
  </si>
  <si>
    <t xml:space="preserve">Startuppers</t>
  </si>
  <si>
    <t xml:space="preserve">Says 2 free Startuppers sessions gave more value than a month at an incubator</t>
  </si>
  <si>
    <t xml:space="preserve">His own written feedback</t>
  </si>
  <si>
    <t xml:space="preserve">ST32</t>
  </si>
  <si>
    <t xml:space="preserve">SW Coimbra startup</t>
  </si>
  <si>
    <t xml:space="preserve">Born at SW Coimbra; accelerated by IPN; pitched at Coimbra Investors Conference</t>
  </si>
  <si>
    <t xml:space="preserve">PRR file lists it as created at SW Coimbra; acceleration told by team</t>
  </si>
  <si>
    <t xml:space="preserve">Get IPN confirmation</t>
  </si>
  <si>
    <t xml:space="preserve">ST33</t>
  </si>
  <si>
    <t xml:space="preserve">Startup Clinics participants</t>
  </si>
  <si>
    <t xml:space="preserve">Startup Clinics</t>
  </si>
  <si>
    <t xml:space="preserve">Founders built their own MVP instead of outsourcing (quote)</t>
  </si>
  <si>
    <t xml:space="preserve">Startup Clinics feedback sheet</t>
  </si>
  <si>
    <t xml:space="preserve">Count how many built an MVP</t>
  </si>
  <si>
    <t xml:space="preserve">ST34</t>
  </si>
  <si>
    <t xml:space="preserve">Community member (now abroad)</t>
  </si>
  <si>
    <t xml:space="preserve">Community</t>
  </si>
  <si>
    <t xml:space="preserve">Wants to replicate 351 in South Africa; 351 got him out of his shell and unstuck</t>
  </si>
  <si>
    <t xml:space="preserve">Message to 351</t>
  </si>
  <si>
    <t xml:space="preserve">ST35</t>
  </si>
  <si>
    <t xml:space="preserve">13-year-old participant (SW Albufeira)</t>
  </si>
  <si>
    <t xml:space="preserve">Startup Weekend Albufeira</t>
  </si>
  <si>
    <t xml:space="preserve">13-year-old built a startup in 54 hours; national press</t>
  </si>
  <si>
    <t xml:space="preserve">Press: thenextbigidea.pt</t>
  </si>
  <si>
    <t xml:space="preserve">Counted in records (SW Albufeira); keep as illustration</t>
  </si>
  <si>
    <t xml:space="preserve">ST36</t>
  </si>
  <si>
    <t xml:space="preserve">Startuppers founder</t>
  </si>
  <si>
    <t xml:space="preserve">Won Canopy + Startup23 demo day; says Startuppers fixed her pitch</t>
  </si>
  <si>
    <t xml:space="preserve">Get a post or quote</t>
  </si>
  <si>
    <t xml:space="preserve">ST37</t>
  </si>
  <si>
    <t xml:space="preserve">Startuppers volunteer</t>
  </si>
  <si>
    <t xml:space="preserve">Startuppers (volunteer)</t>
  </si>
  <si>
    <t xml:space="preserve">Volunteer recommended for a role at Nova SBE</t>
  </si>
  <si>
    <t xml:space="preserve">ST38</t>
  </si>
  <si>
    <t xml:space="preserve">Unicorn Factory Awards 2025 — International Person of the Year (finalist)</t>
  </si>
  <si>
    <t xml:space="preserve">ST39</t>
  </si>
  <si>
    <t xml:space="preserve">ST40</t>
  </si>
  <si>
    <t xml:space="preserve">351startups.com (checked 15 Oct 2026)</t>
  </si>
  <si>
    <t xml:space="preserve">ST41</t>
  </si>
  <si>
    <t xml:space="preserve">Startup Weekend</t>
  </si>
  <si>
    <t xml:space="preserve">Portuguese Women in Tech 2025 — Community award</t>
  </si>
  <si>
    <t xml:space="preserve">Get award link</t>
  </si>
  <si>
    <t xml:space="preserve">ST42</t>
  </si>
  <si>
    <t xml:space="preserve">PTW volunteer → hired by Tech Plane → referred on</t>
  </si>
  <si>
    <t xml:space="preserve">ST43</t>
  </si>
  <si>
    <t xml:space="preserve">10 volunteers</t>
  </si>
  <si>
    <t xml:space="preserve">Web Summit tickets</t>
  </si>
  <si>
    <t xml:space="preserve">Volunteers got Web Summit tickets</t>
  </si>
  <si>
    <t xml:space="preserve">351 ticket records</t>
  </si>
  <si>
    <t xml:space="preserve">Benefit, not outcome</t>
  </si>
  <si>
    <t xml:space="preserve">ST44</t>
  </si>
  <si>
    <t xml:space="preserve">Two FI founders</t>
  </si>
  <si>
    <t xml:space="preserve">Founder Institute</t>
  </si>
  <si>
    <t xml:space="preserve">Free Web Summit tickets via FI</t>
  </si>
  <si>
    <t xml:space="preserve">ST45</t>
  </si>
  <si>
    <t xml:space="preserve">Weekend founder (SW Albufeira)</t>
  </si>
  <si>
    <t xml:space="preserve">SW Albufeira → Startuppers → FI</t>
  </si>
  <si>
    <t xml:space="preserve">Selected for Unicorn Factory Lisboa incubation; Santander X pre-selection</t>
  </si>
  <si>
    <t xml:space="preserve">PRR evidence file (documented pathway)</t>
  </si>
  <si>
    <t xml:space="preserve">ST46</t>
  </si>
  <si>
    <t xml:space="preserve">FI founder</t>
  </si>
  <si>
    <t xml:space="preserve">Accepted into Intertrade / Enterprise Ireland female founder programme; first consulting client</t>
  </si>
  <si>
    <t xml:space="preserve">Her own message</t>
  </si>
  <si>
    <t xml:space="preserve">ST47</t>
  </si>
  <si>
    <t xml:space="preserve">Founder (PTW Palace)</t>
  </si>
  <si>
    <t xml:space="preserve">PTW Palace</t>
  </si>
  <si>
    <t xml:space="preserve">Co-founders travelled to Lisbon because of the PTW Palace</t>
  </si>
  <si>
    <t xml:space="preserve">Own message + Drive file</t>
  </si>
  <si>
    <t xml:space="preserve">ST48</t>
  </si>
  <si>
    <t xml:space="preserve">Community member</t>
  </si>
  <si>
    <t xml:space="preserve">EU-Startups Top 100 Women in Tech</t>
  </si>
  <si>
    <t xml:space="preserve">Listed in EU-Startups Top 100 Women in Tech (sheet text needs fixing)</t>
  </si>
  <si>
    <t xml:space="preserve">Sheet row has wrong text</t>
  </si>
  <si>
    <t xml:space="preserve">FIX sheet row text</t>
  </si>
  <si>
    <t xml:space="preserve">ST49</t>
  </si>
  <si>
    <t xml:space="preserve">Closure team (SW Loulé Women)</t>
  </si>
  <si>
    <t xml:space="preserve">Techstars Startup Weekend Loulé</t>
  </si>
  <si>
    <t xml:space="preserve">Winning team selected for Techstars global competition: top 10 of 38 cities</t>
  </si>
  <si>
    <t xml:space="preserve">Press: Executive Digest</t>
  </si>
  <si>
    <t xml:space="preserve">ST50</t>
  </si>
  <si>
    <t xml:space="preserve">Weekend → Startuppers twice → Founder Institute demo day</t>
  </si>
  <si>
    <t xml:space="preserve">ST51</t>
  </si>
  <si>
    <t xml:space="preserve">Workshop attendee</t>
  </si>
  <si>
    <t xml:space="preserve">FI workshop: $1B Solo Founder</t>
  </si>
  <si>
    <t xml:space="preserve">Launched his product the day after the talk</t>
  </si>
  <si>
    <t xml:space="preserve">His LinkedIn post</t>
  </si>
  <si>
    <t xml:space="preserve">Ask about traction</t>
  </si>
  <si>
    <t xml:space="preserve">ST52</t>
  </si>
  <si>
    <t xml:space="preserve">Founder (FI speaker)</t>
  </si>
  <si>
    <t xml:space="preserve">Networking event</t>
  </si>
  <si>
    <t xml:space="preserve">Founder says her first-ever entrepreneurship event was a 351 event</t>
  </si>
  <si>
    <t xml:space="preserve">Said on stage (team account)</t>
  </si>
  <si>
    <t xml:space="preserve">Get a written quote</t>
  </si>
  <si>
    <t xml:space="preserve">ST53</t>
  </si>
  <si>
    <t xml:space="preserve">Built an automated prospecting tool after the talk</t>
  </si>
  <si>
    <t xml:space="preserve">His email</t>
  </si>
  <si>
    <t xml:space="preserve">Ask about results</t>
  </si>
  <si>
    <t xml:space="preserve">ST54</t>
  </si>
  <si>
    <t xml:space="preserve">FI workshop: AI &amp; Growth</t>
  </si>
  <si>
    <t xml:space="preserve">"One of the best talks I've attended"</t>
  </si>
  <si>
    <t xml:space="preserve">Her message</t>
  </si>
  <si>
    <t xml:space="preserve">ST55</t>
  </si>
  <si>
    <t xml:space="preserve">"One of the best workshops I've ever attended"; asked for the CAC tool</t>
  </si>
  <si>
    <t xml:space="preserve">ST56</t>
  </si>
  <si>
    <t xml:space="preserve">Met at FI and piloted each other's products</t>
  </si>
  <si>
    <t xml:space="preserve">Team account; one founder in PRR file (FI demo day)</t>
  </si>
  <si>
    <t xml:space="preserve">Get a quote</t>
  </si>
  <si>
    <t xml:space="preserve">ST57</t>
  </si>
  <si>
    <t xml:space="preserve">FI founder (AI startup)</t>
  </si>
  <si>
    <t xml:space="preserve">Paid enterprise pilot; $30M leads processed; client revenue 2x; revenue-positive; hired 2; talks with Founder Capital and a16z</t>
  </si>
  <si>
    <t xml:space="preserve">Scale</t>
  </si>
  <si>
    <t xml:space="preserve">His own message</t>
  </si>
  <si>
    <t xml:space="preserve">Ask what FI/351 changed</t>
  </si>
  <si>
    <t xml:space="preserve">ST58</t>
  </si>
  <si>
    <t xml:space="preserve">SeedSight (startup)</t>
  </si>
  <si>
    <t xml:space="preserve">EU Apply AI award referral</t>
  </si>
  <si>
    <t xml:space="preserve">351 referred them to the European Commission; shortlisted top 10</t>
  </si>
  <si>
    <t xml:space="preserve">European Commission page</t>
  </si>
  <si>
    <t xml:space="preserve">ST59</t>
  </si>
  <si>
    <t xml:space="preserve">BlueOasis (startup)</t>
  </si>
  <si>
    <t xml:space="preserve">ST60</t>
  </si>
  <si>
    <t xml:space="preserve">Founder (PTW volunteer)</t>
  </si>
  <si>
    <t xml:space="preserve">PTW volunteer → Startup Weekend</t>
  </si>
  <si>
    <t xml:space="preserve">Says 351 perks, tools and intros were important; wants 351 logo on site</t>
  </si>
  <si>
    <t xml:space="preserve">Their message + PRR mediated-services record (11 tools)</t>
  </si>
  <si>
    <t xml:space="preserve">ST61</t>
  </si>
  <si>
    <t xml:space="preserve">LinkedIn post (same person as ST60)</t>
  </si>
  <si>
    <t xml:space="preserve">LinkedIn</t>
  </si>
  <si>
    <t xml:space="preserve">Same person as ST60</t>
  </si>
  <si>
    <t xml:space="preserve">ST62</t>
  </si>
  <si>
    <t xml:space="preserve">Volunteer</t>
  </si>
  <si>
    <t xml:space="preserve">Volunteer nominated International Personality of the Year</t>
  </si>
  <si>
    <t xml:space="preserve">ST63</t>
  </si>
  <si>
    <t xml:space="preserve">Startup Grind volunteer and founder</t>
  </si>
  <si>
    <t xml:space="preserve">Startup Grind (volunteer)</t>
  </si>
  <si>
    <t xml:space="preserve">Long-time volunteer while building a startup; shortlisted and won Portfolio Day at Unicorn Factory awards 2026</t>
  </si>
  <si>
    <t xml:space="preserve">ST64</t>
  </si>
  <si>
    <t xml:space="preserve">Event organiser</t>
  </si>
  <si>
    <t xml:space="preserve">JornadaID</t>
  </si>
  <si>
    <t xml:space="preserve">351 helped with first contacts for a women-focused founder event</t>
  </si>
  <si>
    <t xml:space="preserve">Check Community Fund link</t>
  </si>
  <si>
    <t xml:space="preserve">ST65</t>
  </si>
  <si>
    <t xml:space="preserve">Ecosystem award</t>
  </si>
  <si>
    <t xml:space="preserve">Ecosystem award 2026</t>
  </si>
  <si>
    <t xml:space="preserve">ST66</t>
  </si>
  <si>
    <t xml:space="preserve">2024/2025</t>
  </si>
  <si>
    <t xml:space="preserve">Coworking Thursdays volunteer</t>
  </si>
  <si>
    <t xml:space="preserve">Coworking Thursdays (volunteer)</t>
  </si>
  <si>
    <t xml:space="preserve">Heard of an Impact Hub job through CT, applied and was hired; freelances for a 351 member</t>
  </si>
  <si>
    <t xml:space="preserve">GP01</t>
  </si>
  <si>
    <t xml:space="preserve">Weekend participant (SW Coimbra)</t>
  </si>
  <si>
    <t xml:space="preserve">Secured a partnership with a key organisation</t>
  </si>
  <si>
    <t xml:space="preserve">LinkedIn post</t>
  </si>
  <si>
    <t xml:space="preserve">Name the partner</t>
  </si>
  <si>
    <t xml:space="preserve">GP02</t>
  </si>
  <si>
    <t xml:space="preserve">FI participant</t>
  </si>
  <si>
    <t xml:space="preserve">"Best meetup I've been to" in 6 months</t>
  </si>
  <si>
    <t xml:space="preserve">Her LinkedIn post</t>
  </si>
  <si>
    <t xml:space="preserve">GP03</t>
  </si>
  <si>
    <t xml:space="preserve">Coworking Thursdays member</t>
  </si>
  <si>
    <t xml:space="preserve">Free SIMCONF ticket</t>
  </si>
  <si>
    <t xml:space="preserve">GP04</t>
  </si>
  <si>
    <t xml:space="preserve">Weekend founder (SW Évora)</t>
  </si>
  <si>
    <t xml:space="preserve">Incubated at Fundação Eugénio de Almeida + Founder Institute scholarship</t>
  </si>
  <si>
    <t xml:space="preserve">PRR evidence file + his LinkedIn</t>
  </si>
  <si>
    <t xml:space="preserve">Part of ST29 + adds FI scholarship</t>
  </si>
  <si>
    <t xml:space="preserve">GP05</t>
  </si>
  <si>
    <t xml:space="preserve">Startup Weekend participants</t>
  </si>
  <si>
    <t xml:space="preserve">Startup Weekends</t>
  </si>
  <si>
    <t xml:space="preserve">"Best weekend of my life" feedback</t>
  </si>
  <si>
    <t xml:space="preserve">SW feedback sheet</t>
  </si>
  <si>
    <t xml:space="preserve">Count share of 9-10 scores</t>
  </si>
  <si>
    <t xml:space="preserve">GP06</t>
  </si>
  <si>
    <t xml:space="preserve">Incubated at Fundação Eugénio de Almeida</t>
  </si>
  <si>
    <t xml:space="preserve">Part of ST29</t>
  </si>
  <si>
    <t xml:space="preserve">GP07</t>
  </si>
  <si>
    <t xml:space="preserve">No text in sheet</t>
  </si>
  <si>
    <t xml:space="preserve">Link only</t>
  </si>
  <si>
    <t xml:space="preserve">Add what changed</t>
  </si>
  <si>
    <t xml:space="preserve">GP08</t>
  </si>
  <si>
    <t xml:space="preserve">LinkedIn post, no text in sheet</t>
  </si>
  <si>
    <t xml:space="preserve">GP09</t>
  </si>
  <si>
    <t xml:space="preserve">Weekend founder</t>
  </si>
  <si>
    <t xml:space="preserve">Two weeks after SW, kept going: Startuppers 2025 + 2026</t>
  </si>
  <si>
    <t xml:space="preserve">PRR evidence file + her LinkedIn</t>
  </si>
  <si>
    <t xml:space="preserve">GP10</t>
  </si>
  <si>
    <t xml:space="preserve">Policy (DMA)</t>
  </si>
  <si>
    <t xml:space="preserve">351 warned about suspending the Digital Markets Act in national press</t>
  </si>
  <si>
    <t xml:space="preserve">Press: PME Magazine</t>
  </si>
  <si>
    <t xml:space="preserve">Move to policy log</t>
  </si>
  <si>
    <t xml:space="preserve">GP11</t>
  </si>
  <si>
    <t xml:space="preserve">Coworking Thursdays Porto &amp; Lisboa</t>
  </si>
  <si>
    <t xml:space="preserve">LinkedIn post about CT</t>
  </si>
  <si>
    <t xml:space="preserve">GP12</t>
  </si>
  <si>
    <t xml:space="preserve">Volunteering</t>
  </si>
  <si>
    <t xml:space="preserve">Forbes Portugal 30 Under 30</t>
  </si>
  <si>
    <t xml:space="preserve">GP13</t>
  </si>
  <si>
    <t xml:space="preserve">Coworking Thursdays Porto</t>
  </si>
  <si>
    <t xml:space="preserve">"Didn't know what to expect" — positive post on CT Porto</t>
  </si>
  <si>
    <t xml:space="preserve">GP14</t>
  </si>
  <si>
    <t xml:space="preserve">Coworking Thursdays Porto (volunteer)</t>
  </si>
  <si>
    <t xml:space="preserve">Became a CT Porto volunteer</t>
  </si>
  <si>
    <t xml:space="preserve">His LinkedIn posts</t>
  </si>
  <si>
    <t xml:space="preserve">GP15</t>
  </si>
  <si>
    <t xml:space="preserve">"Networking that feels good" post</t>
  </si>
  <si>
    <t xml:space="preserve">GP16</t>
  </si>
  <si>
    <t xml:space="preserve">Team</t>
  </si>
  <si>
    <t xml:space="preserve">Sifted top 100 women in tech</t>
  </si>
  <si>
    <t xml:space="preserve">GP17</t>
  </si>
  <si>
    <t xml:space="preserve">351 (organisation)</t>
  </si>
  <si>
    <t xml:space="preserve">Sifted: 50 best first-time founder communities in Europe 2025</t>
  </si>
  <si>
    <t xml:space="preserve">Sifted LinkedIn post</t>
  </si>
  <si>
    <t xml:space="preserve">GP18</t>
  </si>
  <si>
    <t xml:space="preserve">Several 351 initiatives</t>
  </si>
  <si>
    <t xml:space="preserve">Connected with the Lisbon ecosystem</t>
  </si>
  <si>
    <t xml:space="preserve">No link</t>
  </si>
  <si>
    <t xml:space="preserve">Add link</t>
  </si>
  <si>
    <t xml:space="preserve">GP19</t>
  </si>
  <si>
    <t xml:space="preserve">Her top LinkedIn connections of the year all came from 351</t>
  </si>
  <si>
    <t xml:space="preserve">Same person as ST62 (different outcome kept as felt value)</t>
  </si>
  <si>
    <t xml:space="preserve">GP20</t>
  </si>
  <si>
    <t xml:space="preserve">Access to SIMCONF</t>
  </si>
  <si>
    <t xml:space="preserve">GP21</t>
  </si>
  <si>
    <t xml:space="preserve">FI demo day guest</t>
  </si>
  <si>
    <t xml:space="preserve">Founder Institute Demo Day</t>
  </si>
  <si>
    <t xml:space="preserve">Praised the FI demo day event</t>
  </si>
  <si>
    <t xml:space="preserve">What</t>
  </si>
  <si>
    <t xml:space="preserve">Count</t>
  </si>
  <si>
    <t xml:space="preserve">Source</t>
  </si>
  <si>
    <t xml:space="preserve">Startups created at Techstars Startup Weekends (Porto, Lisboa, Coimbra, Albufeira, Évora, Viseu), Oct 2024–Oct 2025</t>
  </si>
  <si>
    <t xml:space="preserve">PRR 5196 evidence file, tab "Startups constituídas" (47 named)</t>
  </si>
  <si>
    <t xml:space="preserve">REC-C</t>
  </si>
  <si>
    <t xml:space="preserve">Weekend participants who came back to another 351 programme (73 of 225 = 32%)</t>
  </si>
  <si>
    <t xml:space="preserve">PRR 5196 evidence file, tab "Continuidade do apoio" (73 named)</t>
  </si>
  <si>
    <t xml:space="preserve">REC-L</t>
  </si>
  <si>
    <t xml:space="preserve">CLA 2025 working groups (Talent, Culture, Density, Capital, Regulation) still active after the programme</t>
  </si>
  <si>
    <t xml:space="preserve">PRR impact report (team statement, no record yet)</t>
  </si>
  <si>
    <t xml:space="preserve">Not counted as outcomes (outputs / reach, kept for context):</t>
  </si>
  <si>
    <t xml:space="preserve">Startuppers 2025 participants with 3+ sessions (PRR file says 72; it includes 351's own programs@ account)</t>
  </si>
  <si>
    <t xml:space="preserve">Distinct startups that received partner perks (all time)</t>
  </si>
  <si>
    <t xml:space="preserve">New 351 community members Feb 2024–Dec 2025</t>
  </si>
  <si>
    <t xml:space="preserve">Community leaders trained at CLA (2 editions)</t>
  </si>
  <si>
    <t xml:space="preserve">Mentors mobilised at Weekends</t>
  </si>
  <si>
    <t xml:space="preserve">Story rows coded S1 for Weekend startups are marked "Duplicate of REC-S1" so they are not counted twice.</t>
  </si>
  <si>
    <t xml:space="preserve">Follow-up survey to past participants (5 questions, ~3 minutes)</t>
  </si>
  <si>
    <t xml:space="preserve">#</t>
  </si>
  <si>
    <t xml:space="preserve">Question</t>
  </si>
  <si>
    <t xml:space="preserve">Answer type</t>
  </si>
  <si>
    <t xml:space="preserve">Feeds</t>
  </si>
  <si>
    <t xml:space="preserve">Which 351 activities did you take part in? (Startup Weekend, Coworking Thursdays, Startuppers, Founder Institute, CLA, PTW, Slack, volunteering, other)</t>
  </si>
  <si>
    <t xml:space="preserve">Multiple choice</t>
  </si>
  <si>
    <t xml:space="preserve">Initiative, funnel stage</t>
  </si>
  <si>
    <t xml:space="preserve">Since then, what happened? Tick all that apply: started a company · joined an incubator/accelerator · launched a product · first paying client · raised funding (amount optional) · won an award · got a job or new role · found a co-founder, partner, client or hire · started a community or event · none yet</t>
  </si>
  <si>
    <t xml:space="preserve">Multiple choice + amount</t>
  </si>
  <si>
    <t xml:space="preserve">Outcome codes S1–S4, J, N, L</t>
  </si>
  <si>
    <t xml:space="preserve">Pick the most important of these. In one or two sentences, what was 351's part in it?</t>
  </si>
  <si>
    <t xml:space="preserve">Short text</t>
  </si>
  <si>
    <t xml:space="preserve">What changed, 351 role</t>
  </si>
  <si>
    <t xml:space="preserve">Would this have happened without 351? No, definitely not · Probably not · Yes, but later or smaller · Yes, the same anyway</t>
  </si>
  <si>
    <t xml:space="preserve">Single choice</t>
  </si>
  <si>
    <t xml:space="preserve">351 share (counterfactual)</t>
  </si>
  <si>
    <t xml:space="preserve">Can we quote you and use your name? Yes, with name · Yes, anonymous · No. Optional: link to a post or page that shows it</t>
  </si>
  <si>
    <t xml:space="preserve">Single choice + link</t>
  </si>
  <si>
    <t xml:space="preserve">Evidence grade (B, or A with an independent link)</t>
  </si>
  <si>
    <t xml:space="preserve">Send to: Startup Weekend participants (225), Startuppers 2025 (199), Founder Institute cohorts, CLA leaders (75), volunteers. Send in Portuguese and English. Two reminders, one week apart.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</si>
</sst>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%"/>
    <numFmt numFmtId="167" formatCode="\€#,##0"/>
    <numFmt numFmtId="168" formatCode="\€#,##0.00"/>
    <numFmt numFmtId="169" formatCode="\€0.0"/>
    <numFmt numFmtId="170" formatCode="0"/>
    <numFmt numFmtId="171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3C3C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8CFF"/>
        <bgColor rgb="FF0066CC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C8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C8C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18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4"/>
      <c r="B2" s="4"/>
      <c r="C2" s="4"/>
      <c r="D2" s="4"/>
      <c r="E2" s="4"/>
      <c r="F2" s="4"/>
      <c r="G2" s="4"/>
    </row>
    <row r="3" customFormat="false" ht="39.5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</row>
    <row r="4" customFormat="false" ht="15" hidden="false" customHeight="false" outlineLevel="0" collapsed="false">
      <c r="A4" s="4" t="s">
        <v>26</v>
      </c>
      <c r="B4" s="4" t="s">
        <v>27</v>
      </c>
      <c r="C4" s="4" t="n">
        <f aca="false">COUNTIFS(Stories!$F$2:$F$500,A4,Stories!$N$2:$N$500,1)</f>
        <v>0</v>
      </c>
      <c r="D4" s="4" t="n">
        <f aca="false">SUMIFS(Records!$D$2:$D$6,Records!$B$2:$B$6,A4)</f>
        <v>47</v>
      </c>
      <c r="E4" s="4" t="n">
        <f aca="false">C4+D4</f>
        <v>47</v>
      </c>
      <c r="F4" s="6" t="n">
        <f aca="false">SUMIFS(Stories!$R$2:$R$500,Stories!$F$2:$F$500,A4)+SUMIFS(Records!$K$2:$K$6,Records!$B$2:$B$6,A4)</f>
        <v>23.5</v>
      </c>
      <c r="G4" s="7" t="n">
        <f aca="false">IF($F$14=0,0,F4/$F$14)</f>
        <v>0.347401877448444</v>
      </c>
    </row>
    <row r="5" customFormat="false" ht="15" hidden="false" customHeight="false" outlineLevel="0" collapsed="false">
      <c r="A5" s="4" t="s">
        <v>28</v>
      </c>
      <c r="B5" s="4" t="s">
        <v>29</v>
      </c>
      <c r="C5" s="4" t="n">
        <f aca="false">COUNTIFS(Stories!$F$2:$F$500,A5,Stories!$N$2:$N$500,1)</f>
        <v>6</v>
      </c>
      <c r="D5" s="4" t="n">
        <f aca="false">SUMIFS(Records!$D$2:$D$6,Records!$B$2:$B$6,A5)</f>
        <v>0</v>
      </c>
      <c r="E5" s="4" t="n">
        <f aca="false">C5+D5</f>
        <v>6</v>
      </c>
      <c r="F5" s="6" t="n">
        <f aca="false">SUMIFS(Stories!$R$2:$R$500,Stories!$F$2:$F$500,A5)+SUMIFS(Records!$K$2:$K$6,Records!$B$2:$B$6,A5)</f>
        <v>4.75</v>
      </c>
      <c r="G5" s="7" t="n">
        <f aca="false">IF($F$14=0,0,F5/$F$14)</f>
        <v>0.0702195284204302</v>
      </c>
    </row>
    <row r="6" customFormat="false" ht="15" hidden="false" customHeight="false" outlineLevel="0" collapsed="false">
      <c r="A6" s="4" t="s">
        <v>30</v>
      </c>
      <c r="B6" s="4" t="s">
        <v>31</v>
      </c>
      <c r="C6" s="4" t="n">
        <f aca="false">COUNTIFS(Stories!$F$2:$F$500,A6,Stories!$N$2:$N$500,1)</f>
        <v>4</v>
      </c>
      <c r="D6" s="4" t="n">
        <f aca="false">SUMIFS(Records!$D$2:$D$6,Records!$B$2:$B$6,A6)</f>
        <v>0</v>
      </c>
      <c r="E6" s="4" t="n">
        <f aca="false">C6+D6</f>
        <v>4</v>
      </c>
      <c r="F6" s="6" t="n">
        <f aca="false">SUMIFS(Stories!$R$2:$R$500,Stories!$F$2:$F$500,A6)+SUMIFS(Records!$K$2:$K$6,Records!$B$2:$B$6,A6)</f>
        <v>3.375</v>
      </c>
      <c r="G6" s="7" t="n">
        <f aca="false">IF($F$14=0,0,F6/$F$14)</f>
        <v>0.0498928228250425</v>
      </c>
    </row>
    <row r="7" customFormat="false" ht="15" hidden="false" customHeight="false" outlineLevel="0" collapsed="false">
      <c r="A7" s="4" t="s">
        <v>32</v>
      </c>
      <c r="B7" s="4" t="s">
        <v>33</v>
      </c>
      <c r="C7" s="4" t="n">
        <f aca="false">COUNTIFS(Stories!$F$2:$F$500,A7,Stories!$N$2:$N$500,1)</f>
        <v>6</v>
      </c>
      <c r="D7" s="4" t="n">
        <f aca="false">SUMIFS(Records!$D$2:$D$6,Records!$B$2:$B$6,A7)</f>
        <v>0</v>
      </c>
      <c r="E7" s="4" t="n">
        <f aca="false">C7+D7</f>
        <v>6</v>
      </c>
      <c r="F7" s="6" t="n">
        <f aca="false">SUMIFS(Stories!$R$2:$R$500,Stories!$F$2:$F$500,A7)+SUMIFS(Records!$K$2:$K$6,Records!$B$2:$B$6,A7)</f>
        <v>3.95</v>
      </c>
      <c r="G7" s="7" t="n">
        <f aca="false">IF($F$14=0,0,F7/$F$14)</f>
        <v>0.0583930815285683</v>
      </c>
    </row>
    <row r="8" customFormat="false" ht="15" hidden="false" customHeight="false" outlineLevel="0" collapsed="false">
      <c r="A8" s="4" t="s">
        <v>34</v>
      </c>
      <c r="B8" s="4" t="s">
        <v>35</v>
      </c>
      <c r="C8" s="4" t="n">
        <f aca="false">COUNTIFS(Stories!$F$2:$F$500,A8,Stories!$N$2:$N$500,1)</f>
        <v>11</v>
      </c>
      <c r="D8" s="4" t="n">
        <f aca="false">SUMIFS(Records!$D$2:$D$6,Records!$B$2:$B$6,A8)</f>
        <v>0</v>
      </c>
      <c r="E8" s="4" t="n">
        <f aca="false">C8+D8</f>
        <v>11</v>
      </c>
      <c r="F8" s="6" t="n">
        <f aca="false">SUMIFS(Stories!$R$2:$R$500,Stories!$F$2:$F$500,A8)+SUMIFS(Records!$K$2:$K$6,Records!$B$2:$B$6,A8)</f>
        <v>4</v>
      </c>
      <c r="G8" s="7" t="n">
        <f aca="false">IF($F$14=0,0,F8/$F$14)</f>
        <v>0.0591322344593096</v>
      </c>
    </row>
    <row r="9" customFormat="false" ht="15" hidden="false" customHeight="false" outlineLevel="0" collapsed="false">
      <c r="A9" s="4" t="s">
        <v>36</v>
      </c>
      <c r="B9" s="4" t="s">
        <v>37</v>
      </c>
      <c r="C9" s="4" t="n">
        <f aca="false">COUNTIFS(Stories!$F$2:$F$500,A9,Stories!$N$2:$N$500,1)</f>
        <v>8</v>
      </c>
      <c r="D9" s="4" t="n">
        <f aca="false">SUMIFS(Records!$D$2:$D$6,Records!$B$2:$B$6,A9)</f>
        <v>0</v>
      </c>
      <c r="E9" s="4" t="n">
        <f aca="false">C9+D9</f>
        <v>8</v>
      </c>
      <c r="F9" s="6" t="n">
        <f aca="false">SUMIFS(Stories!$R$2:$R$500,Stories!$F$2:$F$500,A9)+SUMIFS(Records!$K$2:$K$6,Records!$B$2:$B$6,A9)</f>
        <v>2.5875</v>
      </c>
      <c r="G9" s="7" t="n">
        <f aca="false">IF($F$14=0,0,F9/$F$14)</f>
        <v>0.0382511641658659</v>
      </c>
    </row>
    <row r="10" customFormat="false" ht="15" hidden="false" customHeight="false" outlineLevel="0" collapsed="false">
      <c r="A10" s="4" t="s">
        <v>38</v>
      </c>
      <c r="B10" s="4" t="s">
        <v>39</v>
      </c>
      <c r="C10" s="4" t="n">
        <f aca="false">COUNTIFS(Stories!$F$2:$F$500,A10,Stories!$N$2:$N$500,1)</f>
        <v>7</v>
      </c>
      <c r="D10" s="4" t="n">
        <f aca="false">SUMIFS(Records!$D$2:$D$6,Records!$B$2:$B$6,A10)</f>
        <v>5</v>
      </c>
      <c r="E10" s="4" t="n">
        <f aca="false">C10+D10</f>
        <v>12</v>
      </c>
      <c r="F10" s="6" t="n">
        <f aca="false">SUMIFS(Stories!$R$2:$R$500,Stories!$F$2:$F$500,A10)+SUMIFS(Records!$K$2:$K$6,Records!$B$2:$B$6,A10)</f>
        <v>5.8</v>
      </c>
      <c r="G10" s="7" t="n">
        <f aca="false">IF($F$14=0,0,F10/$F$14)</f>
        <v>0.0857417399659989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n">
        <f aca="false">COUNTIFS(Stories!$F$2:$F$500,A11,Stories!$N$2:$N$500,1)</f>
        <v>0</v>
      </c>
      <c r="D11" s="4" t="n">
        <f aca="false">SUMIFS(Records!$D$2:$D$6,Records!$B$2:$B$6,A11)</f>
        <v>73</v>
      </c>
      <c r="E11" s="4" t="n">
        <f aca="false">C11+D11</f>
        <v>73</v>
      </c>
      <c r="F11" s="6" t="n">
        <f aca="false">SUMIFS(Stories!$R$2:$R$500,Stories!$F$2:$F$500,A11)+SUMIFS(Records!$K$2:$K$6,Records!$B$2:$B$6,A11)</f>
        <v>18.25</v>
      </c>
      <c r="G11" s="7" t="n">
        <f aca="false">IF($F$14=0,0,F11/$F$14)</f>
        <v>0.2697908197206</v>
      </c>
    </row>
    <row r="12" customFormat="false" ht="15" hidden="false" customHeight="false" outlineLevel="0" collapsed="false">
      <c r="A12" s="4" t="s">
        <v>42</v>
      </c>
      <c r="B12" s="4" t="s">
        <v>43</v>
      </c>
      <c r="C12" s="4" t="n">
        <f aca="false">COUNTIFS(Stories!$F$2:$F$500,A12,Stories!$N$2:$N$500,1)</f>
        <v>16</v>
      </c>
      <c r="D12" s="4" t="n">
        <f aca="false">SUMIFS(Records!$D$2:$D$6,Records!$B$2:$B$6,A12)</f>
        <v>0</v>
      </c>
      <c r="E12" s="4" t="n">
        <f aca="false">C12+D12</f>
        <v>16</v>
      </c>
      <c r="F12" s="6" t="n">
        <f aca="false">SUMIFS(Stories!$R$2:$R$500,Stories!$F$2:$F$500,A12)+SUMIFS(Records!$K$2:$K$6,Records!$B$2:$B$6,A12)</f>
        <v>1.3125</v>
      </c>
      <c r="G12" s="7" t="n">
        <f aca="false">IF($F$14=0,0,F12/$F$14)</f>
        <v>0.019402764431961</v>
      </c>
    </row>
    <row r="13" customFormat="false" ht="15" hidden="false" customHeight="false" outlineLevel="0" collapsed="false">
      <c r="A13" s="4" t="s">
        <v>44</v>
      </c>
      <c r="B13" s="4" t="s">
        <v>45</v>
      </c>
      <c r="C13" s="4" t="n">
        <f aca="false">COUNTIFS(Stories!$F$2:$F$500,A13,Stories!$N$2:$N$500,1)</f>
        <v>3</v>
      </c>
      <c r="D13" s="4" t="n">
        <f aca="false">SUMIFS(Records!$D$2:$D$6,Records!$B$2:$B$6,A13)</f>
        <v>0</v>
      </c>
      <c r="E13" s="4" t="n">
        <f aca="false">C13+D13</f>
        <v>3</v>
      </c>
      <c r="F13" s="6" t="n">
        <f aca="false">SUMIFS(Stories!$R$2:$R$500,Stories!$F$2:$F$500,A13)+SUMIFS(Records!$K$2:$K$6,Records!$B$2:$B$6,A13)</f>
        <v>0.12</v>
      </c>
      <c r="G13" s="7" t="n">
        <f aca="false">IF($F$14=0,0,F13/$F$14)</f>
        <v>0.00177396703377929</v>
      </c>
    </row>
    <row r="14" customFormat="false" ht="15" hidden="false" customHeight="false" outlineLevel="0" collapsed="false">
      <c r="A14" s="3" t="s">
        <v>46</v>
      </c>
      <c r="B14" s="4"/>
      <c r="C14" s="3" t="n">
        <f aca="false">SUM(C4:C13)</f>
        <v>61</v>
      </c>
      <c r="D14" s="3" t="n">
        <f aca="false">SUM(D4:D13)</f>
        <v>125</v>
      </c>
      <c r="E14" s="3" t="n">
        <f aca="false">SUM(E4:E13)</f>
        <v>186</v>
      </c>
      <c r="F14" s="8" t="n">
        <f aca="false">SUM(F4:F13)</f>
        <v>67.645</v>
      </c>
      <c r="G14" s="7" t="n">
        <f aca="false">IF($F$14=0,0,F14/$F$14)</f>
        <v>1</v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</row>
    <row r="16" customFormat="false" ht="15" hidden="false" customHeight="false" outlineLevel="0" collapsed="false">
      <c r="A16" s="3" t="s">
        <v>47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5" t="s">
        <v>48</v>
      </c>
      <c r="B17" s="5" t="s">
        <v>49</v>
      </c>
      <c r="C17" s="5" t="s">
        <v>50</v>
      </c>
      <c r="D17" s="5"/>
      <c r="E17" s="5"/>
      <c r="F17" s="5"/>
      <c r="G17" s="5"/>
    </row>
    <row r="18" customFormat="false" ht="15" hidden="false" customHeight="false" outlineLevel="0" collapsed="false">
      <c r="A18" s="4" t="s">
        <v>51</v>
      </c>
      <c r="B18" s="4" t="n">
        <f aca="false">COUNTIFS(Stories!$I$2:$I$500,A18,Stories!$N$2:$N$500,1)</f>
        <v>10</v>
      </c>
      <c r="C18" s="7" t="n">
        <f aca="false">IF(SUM($B$18:$B$20)=0,0,B18/SUM($B$18:$B$20))</f>
        <v>0.163934426229508</v>
      </c>
      <c r="D18" s="4"/>
      <c r="E18" s="4"/>
      <c r="F18" s="4"/>
      <c r="G18" s="4"/>
    </row>
    <row r="19" customFormat="false" ht="15" hidden="false" customHeight="false" outlineLevel="0" collapsed="false">
      <c r="A19" s="4" t="s">
        <v>52</v>
      </c>
      <c r="B19" s="4" t="n">
        <f aca="false">COUNTIFS(Stories!$I$2:$I$500,A19,Stories!$N$2:$N$500,1)</f>
        <v>22</v>
      </c>
      <c r="C19" s="7" t="n">
        <f aca="false">IF(SUM($B$18:$B$20)=0,0,B19/SUM($B$18:$B$20))</f>
        <v>0.360655737704918</v>
      </c>
      <c r="D19" s="4"/>
      <c r="E19" s="4"/>
      <c r="F19" s="4"/>
      <c r="G19" s="4"/>
    </row>
    <row r="20" customFormat="false" ht="15" hidden="false" customHeight="false" outlineLevel="0" collapsed="false">
      <c r="A20" s="4" t="s">
        <v>40</v>
      </c>
      <c r="B20" s="4" t="n">
        <f aca="false">COUNTIFS(Stories!$I$2:$I$500,A20,Stories!$N$2:$N$500,1)</f>
        <v>29</v>
      </c>
      <c r="C20" s="7" t="n">
        <f aca="false">IF(SUM($B$18:$B$20)=0,0,B20/SUM($B$18:$B$20))</f>
        <v>0.475409836065574</v>
      </c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3" t="s">
        <v>53</v>
      </c>
      <c r="B22" s="4"/>
      <c r="C22" s="4"/>
      <c r="D22" s="4"/>
      <c r="E22" s="4"/>
      <c r="F22" s="4"/>
      <c r="G22" s="4"/>
    </row>
    <row r="23" customFormat="false" ht="15" hidden="false" customHeight="false" outlineLevel="0" collapsed="false">
      <c r="A23" s="4" t="s">
        <v>54</v>
      </c>
      <c r="B23" s="4"/>
      <c r="C23" s="4" t="n">
        <f aca="false">COUNTA(Stories!$A$2:$A$500)</f>
        <v>87</v>
      </c>
      <c r="D23" s="4"/>
      <c r="E23" s="4"/>
      <c r="F23" s="4"/>
      <c r="G23" s="4"/>
    </row>
    <row r="24" customFormat="false" ht="15" hidden="false" customHeight="false" outlineLevel="0" collapsed="false">
      <c r="A24" s="4" t="s">
        <v>55</v>
      </c>
      <c r="B24" s="4"/>
      <c r="C24" s="4" t="n">
        <f aca="false">COUNTIF(Stories!$F$2:$F$500,"X")</f>
        <v>10</v>
      </c>
      <c r="D24" s="4"/>
      <c r="E24" s="4"/>
      <c r="F24" s="4"/>
      <c r="G24" s="4"/>
    </row>
    <row r="25" customFormat="false" ht="15" hidden="false" customHeight="false" outlineLevel="0" collapsed="false">
      <c r="A25" s="4" t="s">
        <v>56</v>
      </c>
      <c r="B25" s="4"/>
      <c r="C25" s="4" t="n">
        <f aca="false">COUNTIF(Stories!$F$2:$F$500,"O")</f>
        <v>4</v>
      </c>
      <c r="D25" s="4"/>
      <c r="E25" s="4"/>
      <c r="F25" s="4"/>
      <c r="G25" s="4"/>
    </row>
    <row r="26" customFormat="false" ht="15" hidden="false" customHeight="false" outlineLevel="0" collapsed="false">
      <c r="A26" s="4" t="s">
        <v>57</v>
      </c>
      <c r="B26" s="4"/>
      <c r="C26" s="4" t="n">
        <f aca="false">COUNTIF(Stories!$F$2:$F$500,"Q")</f>
        <v>2</v>
      </c>
      <c r="D26" s="4"/>
      <c r="E26" s="4"/>
      <c r="F26" s="4"/>
      <c r="G26" s="4"/>
    </row>
    <row r="27" customFormat="false" ht="15" hidden="false" customHeight="false" outlineLevel="0" collapsed="false">
      <c r="A27" s="4" t="s">
        <v>58</v>
      </c>
      <c r="B27" s="4"/>
      <c r="C27" s="4" t="n">
        <f aca="false">COUNTIFS(Stories!$M$2:$M$500,"&lt;&gt;",Stories!$F$2:$F$500,"&lt;&gt;X",Stories!$F$2:$F$500,"&lt;&gt;O",Stories!$F$2:$F$500,"&lt;&gt;Q")</f>
        <v>10</v>
      </c>
      <c r="D27" s="4"/>
      <c r="E27" s="4"/>
      <c r="F27" s="4"/>
      <c r="G27" s="4"/>
    </row>
    <row r="28" customFormat="false" ht="15" hidden="false" customHeight="false" outlineLevel="0" collapsed="false">
      <c r="A28" s="4" t="s">
        <v>59</v>
      </c>
      <c r="B28" s="4"/>
      <c r="C28" s="4" t="n">
        <f aca="false">SUM(Stories!$N$2:$N$500)</f>
        <v>61</v>
      </c>
      <c r="D28" s="4"/>
      <c r="E28" s="4"/>
      <c r="F28" s="4"/>
      <c r="G28" s="4"/>
    </row>
    <row r="29" customFormat="false" ht="15" hidden="false" customHeight="false" outlineLevel="0" collapsed="false">
      <c r="A29" s="4" t="s">
        <v>60</v>
      </c>
      <c r="B29" s="4"/>
      <c r="C29" s="4" t="n">
        <f aca="false">COUNTIFS(Stories!$H$2:$H$500,"Y",Stories!$N$2:$N$500,1)</f>
        <v>3</v>
      </c>
      <c r="D29" s="4"/>
      <c r="E29" s="4"/>
      <c r="F29" s="4"/>
      <c r="G29" s="4"/>
    </row>
    <row r="30" customFormat="false" ht="15" hidden="false" customHeight="false" outlineLevel="0" collapsed="false">
      <c r="A30" s="4" t="s">
        <v>61</v>
      </c>
      <c r="B30" s="4"/>
      <c r="C30" s="4" t="n">
        <f aca="false">COUNTA(Stories!$L$2:$L$500)</f>
        <v>0</v>
      </c>
      <c r="D30" s="4"/>
      <c r="E30" s="4"/>
      <c r="F30" s="4"/>
      <c r="G30" s="4"/>
    </row>
    <row r="31" customFormat="false" ht="15" hidden="false" customHeight="false" outlineLevel="0" collapsed="false">
      <c r="A31" s="4" t="s">
        <v>62</v>
      </c>
      <c r="B31" s="4"/>
      <c r="C31" s="6" t="n">
        <f aca="false">SUMPRODUCT((Stories!$I$2:$I$500="C")*Stories!$R$2:$R$500)*(Weights!$B$22/Weights!$B$23-1)</f>
        <v>6.015</v>
      </c>
      <c r="D31" s="4"/>
      <c r="E31" s="4"/>
      <c r="F31" s="4"/>
      <c r="G3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63</v>
      </c>
      <c r="B1" s="4"/>
      <c r="C1" s="4"/>
    </row>
    <row r="2" customFormat="false" ht="15" hidden="false" customHeight="false" outlineLevel="0" collapsed="false">
      <c r="A2" s="4" t="s">
        <v>64</v>
      </c>
      <c r="B2" s="4"/>
      <c r="C2" s="4"/>
    </row>
    <row r="3" customFormat="false" ht="15" hidden="false" customHeight="false" outlineLevel="0" collapsed="false">
      <c r="A3" s="4"/>
      <c r="B3" s="4"/>
      <c r="C3" s="4"/>
    </row>
    <row r="4" customFormat="false" ht="15" hidden="false" customHeight="false" outlineLevel="0" collapsed="false">
      <c r="A4" s="5" t="s">
        <v>65</v>
      </c>
      <c r="B4" s="5" t="s">
        <v>66</v>
      </c>
      <c r="C4" s="5" t="s">
        <v>67</v>
      </c>
    </row>
    <row r="5" customFormat="false" ht="15" hidden="false" customHeight="false" outlineLevel="0" collapsed="false">
      <c r="A5" s="4" t="s">
        <v>68</v>
      </c>
      <c r="B5" s="9"/>
      <c r="C5" s="4"/>
    </row>
    <row r="6" customFormat="false" ht="15" hidden="false" customHeight="false" outlineLevel="0" collapsed="false">
      <c r="A6" s="4" t="s">
        <v>69</v>
      </c>
      <c r="B6" s="9"/>
      <c r="C6" s="4"/>
    </row>
    <row r="7" customFormat="false" ht="15" hidden="false" customHeight="false" outlineLevel="0" collapsed="false">
      <c r="A7" s="4" t="s">
        <v>70</v>
      </c>
      <c r="B7" s="9"/>
      <c r="C7" s="4"/>
    </row>
    <row r="8" customFormat="false" ht="15" hidden="false" customHeight="false" outlineLevel="0" collapsed="false">
      <c r="A8" s="4" t="s">
        <v>71</v>
      </c>
      <c r="B8" s="9"/>
      <c r="C8" s="4"/>
    </row>
    <row r="9" customFormat="false" ht="15" hidden="false" customHeight="false" outlineLevel="0" collapsed="false">
      <c r="A9" s="4" t="s">
        <v>72</v>
      </c>
      <c r="B9" s="9"/>
      <c r="C9" s="4"/>
    </row>
    <row r="10" customFormat="false" ht="15" hidden="false" customHeight="false" outlineLevel="0" collapsed="false">
      <c r="A10" s="4" t="s">
        <v>73</v>
      </c>
      <c r="B10" s="9"/>
      <c r="C10" s="4"/>
    </row>
    <row r="11" customFormat="false" ht="15" hidden="false" customHeight="false" outlineLevel="0" collapsed="false">
      <c r="A11" s="4" t="s">
        <v>74</v>
      </c>
      <c r="B11" s="9"/>
      <c r="C11" s="4"/>
    </row>
    <row r="12" customFormat="false" ht="15" hidden="false" customHeight="false" outlineLevel="0" collapsed="false">
      <c r="A12" s="4" t="s">
        <v>75</v>
      </c>
      <c r="B12" s="9"/>
      <c r="C12" s="4"/>
    </row>
    <row r="13" customFormat="false" ht="15" hidden="false" customHeight="false" outlineLevel="0" collapsed="false">
      <c r="A13" s="4" t="s">
        <v>76</v>
      </c>
      <c r="B13" s="9"/>
      <c r="C13" s="4"/>
    </row>
    <row r="14" customFormat="false" ht="15" hidden="false" customHeight="false" outlineLevel="0" collapsed="false">
      <c r="A14" s="3" t="s">
        <v>77</v>
      </c>
      <c r="B14" s="10" t="n">
        <f aca="false">SUM(B5:B13)</f>
        <v>0</v>
      </c>
      <c r="C14" s="4"/>
    </row>
    <row r="15" customFormat="false" ht="15" hidden="false" customHeight="false" outlineLevel="0" collapsed="false">
      <c r="A15" s="4"/>
      <c r="B15" s="4"/>
      <c r="C15" s="4"/>
    </row>
    <row r="16" customFormat="false" ht="15" hidden="false" customHeight="false" outlineLevel="0" collapsed="false">
      <c r="A16" s="5" t="s">
        <v>78</v>
      </c>
      <c r="B16" s="5" t="s">
        <v>79</v>
      </c>
      <c r="C16" s="5" t="s">
        <v>67</v>
      </c>
    </row>
    <row r="17" customFormat="false" ht="15" hidden="false" customHeight="false" outlineLevel="0" collapsed="false">
      <c r="A17" s="4" t="s">
        <v>80</v>
      </c>
      <c r="B17" s="11"/>
      <c r="C17" s="4" t="s">
        <v>81</v>
      </c>
    </row>
    <row r="18" customFormat="false" ht="15" hidden="false" customHeight="false" outlineLevel="0" collapsed="false">
      <c r="A18" s="4" t="s">
        <v>82</v>
      </c>
      <c r="B18" s="12"/>
      <c r="C18" s="4" t="s">
        <v>83</v>
      </c>
    </row>
    <row r="19" customFormat="false" ht="15" hidden="false" customHeight="false" outlineLevel="0" collapsed="false">
      <c r="A19" s="4" t="s">
        <v>84</v>
      </c>
      <c r="B19" s="13" t="n">
        <f aca="false">B17*B18</f>
        <v>0</v>
      </c>
      <c r="C19" s="4"/>
    </row>
    <row r="20" customFormat="false" ht="15" hidden="false" customHeight="false" outlineLevel="0" collapsed="false">
      <c r="A20" s="4" t="s">
        <v>85</v>
      </c>
      <c r="B20" s="9"/>
      <c r="C20" s="4" t="s">
        <v>86</v>
      </c>
    </row>
    <row r="21" customFormat="false" ht="15" hidden="false" customHeight="false" outlineLevel="0" collapsed="false">
      <c r="A21" s="4" t="s">
        <v>87</v>
      </c>
      <c r="B21" s="9"/>
      <c r="C21" s="4"/>
    </row>
    <row r="22" customFormat="false" ht="15" hidden="false" customHeight="false" outlineLevel="0" collapsed="false">
      <c r="A22" s="4" t="s">
        <v>88</v>
      </c>
      <c r="B22" s="9"/>
      <c r="C22" s="4" t="s">
        <v>89</v>
      </c>
    </row>
    <row r="23" customFormat="false" ht="15" hidden="false" customHeight="false" outlineLevel="0" collapsed="false">
      <c r="A23" s="4" t="s">
        <v>90</v>
      </c>
      <c r="B23" s="14" t="n">
        <v>0.25</v>
      </c>
      <c r="C23" s="4" t="s">
        <v>91</v>
      </c>
    </row>
    <row r="24" customFormat="false" ht="15" hidden="false" customHeight="false" outlineLevel="0" collapsed="false">
      <c r="A24" s="4" t="s">
        <v>92</v>
      </c>
      <c r="B24" s="13" t="n">
        <f aca="false">B22*B23</f>
        <v>0</v>
      </c>
      <c r="C24" s="4"/>
    </row>
    <row r="25" customFormat="false" ht="15" hidden="false" customHeight="false" outlineLevel="0" collapsed="false">
      <c r="A25" s="3" t="s">
        <v>93</v>
      </c>
      <c r="B25" s="10" t="n">
        <f aca="false">B19+B20+B21+B24</f>
        <v>0</v>
      </c>
      <c r="C25" s="4"/>
    </row>
    <row r="26" customFormat="false" ht="15" hidden="false" customHeight="false" outlineLevel="0" collapsed="false">
      <c r="A26" s="4"/>
      <c r="B26" s="4"/>
      <c r="C26" s="4"/>
    </row>
    <row r="27" customFormat="false" ht="15" hidden="false" customHeight="false" outlineLevel="0" collapsed="false">
      <c r="A27" s="5" t="s">
        <v>94</v>
      </c>
      <c r="B27" s="5" t="s">
        <v>95</v>
      </c>
      <c r="C27" s="5" t="s">
        <v>96</v>
      </c>
    </row>
    <row r="28" customFormat="false" ht="15" hidden="false" customHeight="false" outlineLevel="0" collapsed="false">
      <c r="A28" s="3" t="s">
        <v>97</v>
      </c>
      <c r="B28" s="6" t="n">
        <f aca="false">Summary!F14</f>
        <v>67.645</v>
      </c>
      <c r="C28" s="4"/>
    </row>
    <row r="29" customFormat="false" ht="15" hidden="false" customHeight="false" outlineLevel="0" collapsed="false">
      <c r="A29" s="3" t="s">
        <v>98</v>
      </c>
      <c r="B29" s="13" t="str">
        <f aca="false">IF(OR(B14=0,B28=0),"—",B14/B28)</f>
        <v>—</v>
      </c>
      <c r="C29" s="4" t="s">
        <v>99</v>
      </c>
    </row>
    <row r="30" customFormat="false" ht="15" hidden="false" customHeight="false" outlineLevel="0" collapsed="false">
      <c r="A30" s="3" t="s">
        <v>100</v>
      </c>
      <c r="B30" s="15" t="str">
        <f aca="false">IF(OR(B14=0,B25=0),"—",B25/B14)</f>
        <v>—</v>
      </c>
      <c r="C30" s="4" t="s">
        <v>101</v>
      </c>
    </row>
    <row r="31" customFormat="false" ht="15" hidden="false" customHeight="false" outlineLevel="0" collapsed="false">
      <c r="A31" s="3" t="s">
        <v>102</v>
      </c>
      <c r="B31" s="16" t="str">
        <f aca="false">IF(OR(B14=0,B28=0),"—",50000/B29)</f>
        <v>—</v>
      </c>
      <c r="C31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104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3" t="s">
        <v>105</v>
      </c>
      <c r="B3" s="4"/>
      <c r="C3" s="4"/>
      <c r="D3" s="4"/>
    </row>
    <row r="4" customFormat="false" ht="15" hidden="false" customHeight="false" outlineLevel="0" collapsed="false">
      <c r="A4" s="5" t="s">
        <v>19</v>
      </c>
      <c r="B4" s="5" t="s">
        <v>106</v>
      </c>
      <c r="C4" s="5" t="s">
        <v>20</v>
      </c>
      <c r="D4" s="5" t="s">
        <v>107</v>
      </c>
    </row>
    <row r="5" customFormat="false" ht="15" hidden="false" customHeight="false" outlineLevel="0" collapsed="false">
      <c r="A5" s="4" t="s">
        <v>26</v>
      </c>
      <c r="B5" s="17" t="n">
        <v>1</v>
      </c>
      <c r="C5" s="4" t="s">
        <v>27</v>
      </c>
      <c r="D5" s="4" t="s">
        <v>108</v>
      </c>
    </row>
    <row r="6" customFormat="false" ht="15" hidden="false" customHeight="false" outlineLevel="0" collapsed="false">
      <c r="A6" s="4" t="s">
        <v>28</v>
      </c>
      <c r="B6" s="17" t="n">
        <v>2</v>
      </c>
      <c r="C6" s="4" t="s">
        <v>29</v>
      </c>
      <c r="D6" s="4" t="s">
        <v>108</v>
      </c>
    </row>
    <row r="7" customFormat="false" ht="15" hidden="false" customHeight="false" outlineLevel="0" collapsed="false">
      <c r="A7" s="4" t="s">
        <v>30</v>
      </c>
      <c r="B7" s="17" t="n">
        <v>3</v>
      </c>
      <c r="C7" s="4" t="s">
        <v>31</v>
      </c>
      <c r="D7" s="4" t="s">
        <v>108</v>
      </c>
    </row>
    <row r="8" customFormat="false" ht="15" hidden="false" customHeight="false" outlineLevel="0" collapsed="false">
      <c r="A8" s="4" t="s">
        <v>32</v>
      </c>
      <c r="B8" s="17" t="n">
        <v>2</v>
      </c>
      <c r="C8" s="4" t="s">
        <v>33</v>
      </c>
      <c r="D8" s="4" t="s">
        <v>108</v>
      </c>
    </row>
    <row r="9" customFormat="false" ht="15" hidden="false" customHeight="false" outlineLevel="0" collapsed="false">
      <c r="A9" s="4" t="s">
        <v>34</v>
      </c>
      <c r="B9" s="17" t="n">
        <v>2</v>
      </c>
      <c r="C9" s="4" t="s">
        <v>35</v>
      </c>
      <c r="D9" s="4" t="s">
        <v>108</v>
      </c>
    </row>
    <row r="10" customFormat="false" ht="15" hidden="false" customHeight="false" outlineLevel="0" collapsed="false">
      <c r="A10" s="4" t="s">
        <v>36</v>
      </c>
      <c r="B10" s="17" t="n">
        <v>1.5</v>
      </c>
      <c r="C10" s="4" t="s">
        <v>37</v>
      </c>
      <c r="D10" s="4" t="s">
        <v>108</v>
      </c>
    </row>
    <row r="11" customFormat="false" ht="15" hidden="false" customHeight="false" outlineLevel="0" collapsed="false">
      <c r="A11" s="4" t="s">
        <v>38</v>
      </c>
      <c r="B11" s="17" t="n">
        <v>2</v>
      </c>
      <c r="C11" s="4" t="s">
        <v>39</v>
      </c>
      <c r="D11" s="4" t="s">
        <v>108</v>
      </c>
    </row>
    <row r="12" customFormat="false" ht="15" hidden="false" customHeight="false" outlineLevel="0" collapsed="false">
      <c r="A12" s="4" t="s">
        <v>40</v>
      </c>
      <c r="B12" s="17" t="n">
        <v>0.5</v>
      </c>
      <c r="C12" s="4" t="s">
        <v>41</v>
      </c>
      <c r="D12" s="4" t="s">
        <v>108</v>
      </c>
    </row>
    <row r="13" customFormat="false" ht="15" hidden="false" customHeight="false" outlineLevel="0" collapsed="false">
      <c r="A13" s="4" t="s">
        <v>42</v>
      </c>
      <c r="B13" s="17" t="n">
        <v>0.25</v>
      </c>
      <c r="C13" s="4" t="s">
        <v>43</v>
      </c>
      <c r="D13" s="4" t="s">
        <v>109</v>
      </c>
    </row>
    <row r="14" customFormat="false" ht="15" hidden="false" customHeight="false" outlineLevel="0" collapsed="false">
      <c r="A14" s="4" t="s">
        <v>44</v>
      </c>
      <c r="B14" s="17" t="n">
        <v>0.5</v>
      </c>
      <c r="C14" s="4" t="s">
        <v>45</v>
      </c>
      <c r="D14" s="4" t="s">
        <v>109</v>
      </c>
    </row>
    <row r="15" customFormat="false" ht="15" hidden="false" customHeight="false" outlineLevel="0" collapsed="false">
      <c r="A15" s="4" t="s">
        <v>110</v>
      </c>
      <c r="B15" s="17" t="n">
        <v>0</v>
      </c>
      <c r="C15" s="4" t="s">
        <v>111</v>
      </c>
      <c r="D15" s="4" t="s">
        <v>112</v>
      </c>
    </row>
    <row r="16" customFormat="false" ht="15" hidden="false" customHeight="false" outlineLevel="0" collapsed="false">
      <c r="A16" s="4" t="s">
        <v>113</v>
      </c>
      <c r="B16" s="17" t="n">
        <v>0</v>
      </c>
      <c r="C16" s="4" t="s">
        <v>114</v>
      </c>
      <c r="D16" s="4" t="s">
        <v>112</v>
      </c>
    </row>
    <row r="17" customFormat="false" ht="15" hidden="false" customHeight="false" outlineLevel="0" collapsed="false">
      <c r="A17" s="4" t="s">
        <v>115</v>
      </c>
      <c r="B17" s="17" t="n">
        <v>0</v>
      </c>
      <c r="C17" s="4" t="s">
        <v>116</v>
      </c>
      <c r="D17" s="4" t="s">
        <v>112</v>
      </c>
    </row>
    <row r="18" customFormat="false" ht="15" hidden="false" customHeight="false" outlineLevel="0" collapsed="false">
      <c r="A18" s="4"/>
      <c r="B18" s="4"/>
      <c r="C18" s="4"/>
      <c r="D18" s="4"/>
    </row>
    <row r="19" customFormat="false" ht="15" hidden="false" customHeight="false" outlineLevel="0" collapsed="false">
      <c r="A19" s="3" t="s">
        <v>117</v>
      </c>
      <c r="B19" s="4"/>
      <c r="C19" s="4"/>
      <c r="D19" s="4"/>
    </row>
    <row r="20" customFormat="false" ht="15" hidden="false" customHeight="false" outlineLevel="0" collapsed="false">
      <c r="A20" s="5" t="s">
        <v>48</v>
      </c>
      <c r="B20" s="5" t="s">
        <v>106</v>
      </c>
      <c r="C20" s="5" t="s">
        <v>118</v>
      </c>
      <c r="D20" s="5"/>
    </row>
    <row r="21" customFormat="false" ht="15" hidden="false" customHeight="false" outlineLevel="0" collapsed="false">
      <c r="A21" s="4" t="s">
        <v>51</v>
      </c>
      <c r="B21" s="17" t="n">
        <v>1</v>
      </c>
      <c r="C21" s="4" t="s">
        <v>119</v>
      </c>
      <c r="D21" s="4"/>
    </row>
    <row r="22" customFormat="false" ht="15" hidden="false" customHeight="false" outlineLevel="0" collapsed="false">
      <c r="A22" s="4" t="s">
        <v>52</v>
      </c>
      <c r="B22" s="17" t="n">
        <v>0.7</v>
      </c>
      <c r="C22" s="4" t="s">
        <v>120</v>
      </c>
      <c r="D22" s="4"/>
    </row>
    <row r="23" customFormat="false" ht="15" hidden="false" customHeight="false" outlineLevel="0" collapsed="false">
      <c r="A23" s="4" t="s">
        <v>40</v>
      </c>
      <c r="B23" s="17" t="n">
        <v>0.4</v>
      </c>
      <c r="C23" s="4" t="s">
        <v>121</v>
      </c>
      <c r="D23" s="4"/>
    </row>
    <row r="24" customFormat="false" ht="15" hidden="false" customHeight="false" outlineLevel="0" collapsed="false">
      <c r="A24" s="4"/>
      <c r="B24" s="4"/>
      <c r="C24" s="4"/>
      <c r="D24" s="4"/>
    </row>
    <row r="25" customFormat="false" ht="15" hidden="false" customHeight="false" outlineLevel="0" collapsed="false">
      <c r="A25" s="3" t="s">
        <v>122</v>
      </c>
      <c r="B25" s="4"/>
      <c r="C25" s="4"/>
      <c r="D25" s="4"/>
    </row>
    <row r="26" customFormat="false" ht="15" hidden="false" customHeight="false" outlineLevel="0" collapsed="false">
      <c r="A26" s="5" t="s">
        <v>123</v>
      </c>
      <c r="B26" s="5" t="s">
        <v>50</v>
      </c>
      <c r="C26" s="5" t="s">
        <v>118</v>
      </c>
      <c r="D26" s="5"/>
    </row>
    <row r="27" customFormat="false" ht="15" hidden="false" customHeight="false" outlineLevel="0" collapsed="false">
      <c r="A27" s="4" t="s">
        <v>124</v>
      </c>
      <c r="B27" s="17" t="n">
        <v>0.5</v>
      </c>
      <c r="C27" s="4" t="s">
        <v>125</v>
      </c>
      <c r="D27" s="4"/>
    </row>
    <row r="28" customFormat="false" ht="15" hidden="false" customHeight="false" outlineLevel="0" collapsed="false">
      <c r="A28" s="4" t="s">
        <v>126</v>
      </c>
      <c r="B28" s="17" t="n">
        <v>0.25</v>
      </c>
      <c r="C28" s="4" t="s">
        <v>127</v>
      </c>
      <c r="D28" s="4"/>
    </row>
    <row r="29" customFormat="false" ht="15" hidden="false" customHeight="false" outlineLevel="0" collapsed="false">
      <c r="A29" s="4" t="s">
        <v>128</v>
      </c>
      <c r="B29" s="17" t="n">
        <v>0.1</v>
      </c>
      <c r="C29" s="4" t="s">
        <v>129</v>
      </c>
      <c r="D29" s="4"/>
    </row>
    <row r="30" customFormat="false" ht="15" hidden="false" customHeight="false" outlineLevel="0" collapsed="false">
      <c r="A30" s="4"/>
      <c r="B30" s="4"/>
      <c r="C30" s="4"/>
      <c r="D30" s="4"/>
    </row>
    <row r="31" customFormat="false" ht="15" hidden="false" customHeight="false" outlineLevel="0" collapsed="false">
      <c r="A31" s="3" t="s">
        <v>130</v>
      </c>
      <c r="B31" s="4"/>
      <c r="C31" s="4"/>
      <c r="D31" s="4"/>
    </row>
    <row r="32" customFormat="false" ht="15" hidden="false" customHeight="false" outlineLevel="0" collapsed="false">
      <c r="A32" s="5" t="s">
        <v>131</v>
      </c>
      <c r="B32" s="5" t="s">
        <v>50</v>
      </c>
      <c r="C32" s="5" t="s">
        <v>132</v>
      </c>
      <c r="D32" s="5"/>
    </row>
    <row r="33" customFormat="false" ht="15" hidden="false" customHeight="false" outlineLevel="0" collapsed="false">
      <c r="A33" s="4" t="s">
        <v>133</v>
      </c>
      <c r="B33" s="17" t="n">
        <v>0.8</v>
      </c>
      <c r="C33" s="4" t="s">
        <v>134</v>
      </c>
      <c r="D33" s="4"/>
    </row>
    <row r="34" customFormat="false" ht="15" hidden="false" customHeight="false" outlineLevel="0" collapsed="false">
      <c r="A34" s="4" t="s">
        <v>135</v>
      </c>
      <c r="B34" s="17" t="n">
        <v>0.6</v>
      </c>
      <c r="C34" s="4"/>
      <c r="D34" s="4"/>
    </row>
    <row r="35" customFormat="false" ht="15" hidden="false" customHeight="false" outlineLevel="0" collapsed="false">
      <c r="A35" s="4" t="s">
        <v>136</v>
      </c>
      <c r="B35" s="17" t="n">
        <v>0.3</v>
      </c>
      <c r="C35" s="4"/>
      <c r="D35" s="4"/>
    </row>
    <row r="36" customFormat="false" ht="15" hidden="false" customHeight="false" outlineLevel="0" collapsed="false">
      <c r="A36" s="4" t="s">
        <v>137</v>
      </c>
      <c r="B36" s="17" t="n">
        <v>0</v>
      </c>
      <c r="C36" s="4" t="s">
        <v>138</v>
      </c>
      <c r="D36" s="4"/>
    </row>
    <row r="37" customFormat="false" ht="15" hidden="false" customHeight="false" outlineLevel="0" collapsed="false">
      <c r="A37" s="4"/>
      <c r="B37" s="4"/>
      <c r="C37" s="4"/>
      <c r="D37" s="4"/>
    </row>
    <row r="38" customFormat="false" ht="15" hidden="false" customHeight="false" outlineLevel="0" collapsed="false">
      <c r="A38" s="4" t="s">
        <v>139</v>
      </c>
      <c r="B38" s="4"/>
      <c r="C38" s="4"/>
      <c r="D3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26"/>
    <col collapsed="false" customWidth="true" hidden="false" outlineLevel="0" max="5" min="5" style="0" width="6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34"/>
    <col collapsed="false" customWidth="true" hidden="false" outlineLevel="0" max="11" min="11" style="0" width="13"/>
    <col collapsed="false" customWidth="true" hidden="false" outlineLevel="0" max="12" min="12" style="0" width="22"/>
    <col collapsed="false" customWidth="true" hidden="false" outlineLevel="0" max="13" min="13" style="0" width="12"/>
    <col collapsed="false" customWidth="true" hidden="false" outlineLevel="0" max="17" min="14" style="0" width="9"/>
    <col collapsed="false" customWidth="true" hidden="false" outlineLevel="0" max="18" min="18" style="0" width="13"/>
    <col collapsed="false" customWidth="true" hidden="false" outlineLevel="0" max="19" min="19" style="0" width="30"/>
  </cols>
  <sheetData>
    <row r="1" customFormat="false" ht="52.2" hidden="false" customHeight="false" outlineLevel="0" collapsed="false">
      <c r="A1" s="5" t="s">
        <v>140</v>
      </c>
      <c r="B1" s="5" t="s">
        <v>141</v>
      </c>
      <c r="C1" s="5" t="s">
        <v>142</v>
      </c>
      <c r="D1" s="5" t="s">
        <v>143</v>
      </c>
      <c r="E1" s="5" t="s">
        <v>144</v>
      </c>
      <c r="F1" s="5" t="s">
        <v>145</v>
      </c>
      <c r="G1" s="5" t="s">
        <v>146</v>
      </c>
      <c r="H1" s="5" t="s">
        <v>147</v>
      </c>
      <c r="I1" s="5" t="s">
        <v>148</v>
      </c>
      <c r="J1" s="5" t="s">
        <v>149</v>
      </c>
      <c r="K1" s="5" t="s">
        <v>150</v>
      </c>
      <c r="L1" s="5" t="s">
        <v>151</v>
      </c>
      <c r="M1" s="5" t="s">
        <v>152</v>
      </c>
      <c r="N1" s="5" t="s">
        <v>153</v>
      </c>
      <c r="O1" s="5" t="s">
        <v>154</v>
      </c>
      <c r="P1" s="5" t="s">
        <v>155</v>
      </c>
      <c r="Q1" s="5" t="s">
        <v>156</v>
      </c>
      <c r="R1" s="5" t="s">
        <v>24</v>
      </c>
      <c r="S1" s="5" t="s">
        <v>157</v>
      </c>
    </row>
    <row r="2" customFormat="false" ht="26.85" hidden="false" customHeight="false" outlineLevel="0" collapsed="false">
      <c r="A2" s="18" t="s">
        <v>158</v>
      </c>
      <c r="B2" s="18" t="s">
        <v>159</v>
      </c>
      <c r="C2" s="18" t="s">
        <v>160</v>
      </c>
      <c r="D2" s="18" t="s">
        <v>161</v>
      </c>
      <c r="E2" s="18" t="s">
        <v>162</v>
      </c>
      <c r="F2" s="18" t="s">
        <v>36</v>
      </c>
      <c r="G2" s="18" t="s">
        <v>163</v>
      </c>
      <c r="H2" s="18" t="s">
        <v>36</v>
      </c>
      <c r="I2" s="18" t="s">
        <v>52</v>
      </c>
      <c r="J2" s="18" t="s">
        <v>164</v>
      </c>
      <c r="K2" s="18" t="s">
        <v>124</v>
      </c>
      <c r="L2" s="19"/>
      <c r="M2" s="18"/>
      <c r="N2" s="4" t="n">
        <f aca="false">IF(OR(M2&lt;&gt;"",F2="X",F2="O",F2="Q"),0,1)</f>
        <v>1</v>
      </c>
      <c r="O2" s="4" t="n">
        <f aca="false">IFERROR(INDEX(Weights!$B$5:$B$17,MATCH(F2,Weights!$A$5:$A$17,0)),0)</f>
        <v>1.5</v>
      </c>
      <c r="P2" s="4" t="n">
        <f aca="false">IFERROR(INDEX(Weights!$B$21:$B$23,MATCH(I2,Weights!$A$21:$A$23,0)),0)</f>
        <v>0.7</v>
      </c>
      <c r="Q2" s="4" t="n">
        <f aca="false">IF(L2&lt;&gt;"",IFERROR(INDEX(Weights!$B$33:$B$36,MATCH(L2,Weights!$A$33:$A$36,0)),0),IFERROR(INDEX(Weights!$B$27:$B$29,MATCH(K2,Weights!$A$27:$A$29,0)),0))</f>
        <v>0.5</v>
      </c>
      <c r="R2" s="20" t="n">
        <f aca="false">N2*O2*P2*Q2</f>
        <v>0.525</v>
      </c>
      <c r="S2" s="18" t="s">
        <v>165</v>
      </c>
    </row>
    <row r="3" customFormat="false" ht="26.85" hidden="false" customHeight="false" outlineLevel="0" collapsed="false">
      <c r="A3" s="18" t="s">
        <v>166</v>
      </c>
      <c r="B3" s="18" t="s">
        <v>159</v>
      </c>
      <c r="C3" s="18" t="s">
        <v>167</v>
      </c>
      <c r="D3" s="18" t="s">
        <v>168</v>
      </c>
      <c r="E3" s="18" t="s">
        <v>169</v>
      </c>
      <c r="F3" s="18" t="s">
        <v>26</v>
      </c>
      <c r="G3" s="18" t="s">
        <v>170</v>
      </c>
      <c r="H3" s="18" t="s">
        <v>36</v>
      </c>
      <c r="I3" s="18" t="s">
        <v>51</v>
      </c>
      <c r="J3" s="18" t="s">
        <v>171</v>
      </c>
      <c r="K3" s="18" t="s">
        <v>124</v>
      </c>
      <c r="L3" s="19"/>
      <c r="M3" s="18" t="s">
        <v>172</v>
      </c>
      <c r="N3" s="4" t="n">
        <f aca="false">IF(OR(M3&lt;&gt;"",F3="X",F3="O",F3="Q"),0,1)</f>
        <v>0</v>
      </c>
      <c r="O3" s="4" t="n">
        <f aca="false">IFERROR(INDEX(Weights!$B$5:$B$17,MATCH(F3,Weights!$A$5:$A$17,0)),0)</f>
        <v>1</v>
      </c>
      <c r="P3" s="4" t="n">
        <f aca="false">IFERROR(INDEX(Weights!$B$21:$B$23,MATCH(I3,Weights!$A$21:$A$23,0)),0)</f>
        <v>1</v>
      </c>
      <c r="Q3" s="4" t="n">
        <f aca="false">IF(L3&lt;&gt;"",IFERROR(INDEX(Weights!$B$33:$B$36,MATCH(L3,Weights!$A$33:$A$36,0)),0),IFERROR(INDEX(Weights!$B$27:$B$29,MATCH(K3,Weights!$A$27:$A$29,0)),0))</f>
        <v>0.5</v>
      </c>
      <c r="R3" s="20" t="n">
        <f aca="false">N3*O3*P3*Q3</f>
        <v>0</v>
      </c>
      <c r="S3" s="18" t="s">
        <v>173</v>
      </c>
    </row>
    <row r="4" customFormat="false" ht="26.85" hidden="false" customHeight="false" outlineLevel="0" collapsed="false">
      <c r="A4" s="18" t="s">
        <v>174</v>
      </c>
      <c r="B4" s="18" t="s">
        <v>159</v>
      </c>
      <c r="C4" s="18" t="s">
        <v>175</v>
      </c>
      <c r="D4" s="18" t="s">
        <v>176</v>
      </c>
      <c r="E4" s="18" t="s">
        <v>177</v>
      </c>
      <c r="F4" s="18" t="s">
        <v>30</v>
      </c>
      <c r="G4" s="18" t="s">
        <v>178</v>
      </c>
      <c r="H4" s="18" t="s">
        <v>36</v>
      </c>
      <c r="I4" s="18" t="s">
        <v>51</v>
      </c>
      <c r="J4" s="18" t="s">
        <v>179</v>
      </c>
      <c r="K4" s="18" t="s">
        <v>126</v>
      </c>
      <c r="L4" s="19"/>
      <c r="M4" s="18"/>
      <c r="N4" s="4" t="n">
        <f aca="false">IF(OR(M4&lt;&gt;"",F4="X",F4="O",F4="Q"),0,1)</f>
        <v>1</v>
      </c>
      <c r="O4" s="4" t="n">
        <f aca="false">IFERROR(INDEX(Weights!$B$5:$B$17,MATCH(F4,Weights!$A$5:$A$17,0)),0)</f>
        <v>3</v>
      </c>
      <c r="P4" s="4" t="n">
        <f aca="false">IFERROR(INDEX(Weights!$B$21:$B$23,MATCH(I4,Weights!$A$21:$A$23,0)),0)</f>
        <v>1</v>
      </c>
      <c r="Q4" s="4" t="n">
        <f aca="false">IF(L4&lt;&gt;"",IFERROR(INDEX(Weights!$B$33:$B$36,MATCH(L4,Weights!$A$33:$A$36,0)),0),IFERROR(INDEX(Weights!$B$27:$B$29,MATCH(K4,Weights!$A$27:$A$29,0)),0))</f>
        <v>0.25</v>
      </c>
      <c r="R4" s="20" t="n">
        <f aca="false">N4*O4*P4*Q4</f>
        <v>0.75</v>
      </c>
      <c r="S4" s="18" t="s">
        <v>180</v>
      </c>
    </row>
    <row r="5" customFormat="false" ht="26.85" hidden="false" customHeight="false" outlineLevel="0" collapsed="false">
      <c r="A5" s="18" t="s">
        <v>181</v>
      </c>
      <c r="B5" s="18"/>
      <c r="C5" s="18" t="s">
        <v>182</v>
      </c>
      <c r="D5" s="18" t="s">
        <v>183</v>
      </c>
      <c r="E5" s="18" t="s">
        <v>184</v>
      </c>
      <c r="F5" s="18" t="s">
        <v>36</v>
      </c>
      <c r="G5" s="18" t="s">
        <v>185</v>
      </c>
      <c r="H5" s="18" t="s">
        <v>36</v>
      </c>
      <c r="I5" s="18" t="s">
        <v>40</v>
      </c>
      <c r="J5" s="18" t="s">
        <v>186</v>
      </c>
      <c r="K5" s="18" t="s">
        <v>124</v>
      </c>
      <c r="L5" s="19"/>
      <c r="M5" s="18"/>
      <c r="N5" s="4" t="n">
        <f aca="false">IF(OR(M5&lt;&gt;"",F5="X",F5="O",F5="Q"),0,1)</f>
        <v>1</v>
      </c>
      <c r="O5" s="4" t="n">
        <f aca="false">IFERROR(INDEX(Weights!$B$5:$B$17,MATCH(F5,Weights!$A$5:$A$17,0)),0)</f>
        <v>1.5</v>
      </c>
      <c r="P5" s="4" t="n">
        <f aca="false">IFERROR(INDEX(Weights!$B$21:$B$23,MATCH(I5,Weights!$A$21:$A$23,0)),0)</f>
        <v>0.4</v>
      </c>
      <c r="Q5" s="4" t="n">
        <f aca="false">IF(L5&lt;&gt;"",IFERROR(INDEX(Weights!$B$33:$B$36,MATCH(L5,Weights!$A$33:$A$36,0)),0),IFERROR(INDEX(Weights!$B$27:$B$29,MATCH(K5,Weights!$A$27:$A$29,0)),0))</f>
        <v>0.5</v>
      </c>
      <c r="R5" s="20" t="n">
        <f aca="false">N5*O5*P5*Q5</f>
        <v>0.3</v>
      </c>
      <c r="S5" s="18" t="s">
        <v>187</v>
      </c>
    </row>
    <row r="6" customFormat="false" ht="26.85" hidden="false" customHeight="false" outlineLevel="0" collapsed="false">
      <c r="A6" s="18" t="s">
        <v>188</v>
      </c>
      <c r="B6" s="18"/>
      <c r="C6" s="18" t="s">
        <v>189</v>
      </c>
      <c r="D6" s="18" t="s">
        <v>69</v>
      </c>
      <c r="E6" s="18" t="s">
        <v>190</v>
      </c>
      <c r="F6" s="18" t="s">
        <v>36</v>
      </c>
      <c r="G6" s="18" t="s">
        <v>163</v>
      </c>
      <c r="H6" s="18" t="s">
        <v>36</v>
      </c>
      <c r="I6" s="18" t="s">
        <v>40</v>
      </c>
      <c r="J6" s="18" t="s">
        <v>186</v>
      </c>
      <c r="K6" s="18" t="s">
        <v>124</v>
      </c>
      <c r="L6" s="19"/>
      <c r="M6" s="18"/>
      <c r="N6" s="4" t="n">
        <f aca="false">IF(OR(M6&lt;&gt;"",F6="X",F6="O",F6="Q"),0,1)</f>
        <v>1</v>
      </c>
      <c r="O6" s="4" t="n">
        <f aca="false">IFERROR(INDEX(Weights!$B$5:$B$17,MATCH(F6,Weights!$A$5:$A$17,0)),0)</f>
        <v>1.5</v>
      </c>
      <c r="P6" s="4" t="n">
        <f aca="false">IFERROR(INDEX(Weights!$B$21:$B$23,MATCH(I6,Weights!$A$21:$A$23,0)),0)</f>
        <v>0.4</v>
      </c>
      <c r="Q6" s="4" t="n">
        <f aca="false">IF(L6&lt;&gt;"",IFERROR(INDEX(Weights!$B$33:$B$36,MATCH(L6,Weights!$A$33:$A$36,0)),0),IFERROR(INDEX(Weights!$B$27:$B$29,MATCH(K6,Weights!$A$27:$A$29,0)),0))</f>
        <v>0.5</v>
      </c>
      <c r="R6" s="20" t="n">
        <f aca="false">N6*O6*P6*Q6</f>
        <v>0.3</v>
      </c>
      <c r="S6" s="18" t="s">
        <v>191</v>
      </c>
    </row>
    <row r="7" customFormat="false" ht="26.85" hidden="false" customHeight="false" outlineLevel="0" collapsed="false">
      <c r="A7" s="18" t="s">
        <v>192</v>
      </c>
      <c r="B7" s="18"/>
      <c r="C7" s="18" t="s">
        <v>193</v>
      </c>
      <c r="D7" s="18" t="s">
        <v>194</v>
      </c>
      <c r="E7" s="18" t="s">
        <v>195</v>
      </c>
      <c r="F7" s="18" t="s">
        <v>26</v>
      </c>
      <c r="G7" s="18" t="s">
        <v>170</v>
      </c>
      <c r="H7" s="18" t="s">
        <v>36</v>
      </c>
      <c r="I7" s="18" t="s">
        <v>52</v>
      </c>
      <c r="J7" s="18" t="s">
        <v>196</v>
      </c>
      <c r="K7" s="18" t="s">
        <v>124</v>
      </c>
      <c r="L7" s="19"/>
      <c r="M7" s="18" t="s">
        <v>172</v>
      </c>
      <c r="N7" s="4" t="n">
        <f aca="false">IF(OR(M7&lt;&gt;"",F7="X",F7="O",F7="Q"),0,1)</f>
        <v>0</v>
      </c>
      <c r="O7" s="4" t="n">
        <f aca="false">IFERROR(INDEX(Weights!$B$5:$B$17,MATCH(F7,Weights!$A$5:$A$17,0)),0)</f>
        <v>1</v>
      </c>
      <c r="P7" s="4" t="n">
        <f aca="false">IFERROR(INDEX(Weights!$B$21:$B$23,MATCH(I7,Weights!$A$21:$A$23,0)),0)</f>
        <v>0.7</v>
      </c>
      <c r="Q7" s="4" t="n">
        <f aca="false">IF(L7&lt;&gt;"",IFERROR(INDEX(Weights!$B$33:$B$36,MATCH(L7,Weights!$A$33:$A$36,0)),0),IFERROR(INDEX(Weights!$B$27:$B$29,MATCH(K7,Weights!$A$27:$A$29,0)),0))</f>
        <v>0.5</v>
      </c>
      <c r="R7" s="20" t="n">
        <f aca="false">N7*O7*P7*Q7</f>
        <v>0</v>
      </c>
      <c r="S7" s="18" t="s">
        <v>197</v>
      </c>
    </row>
    <row r="8" customFormat="false" ht="26.85" hidden="false" customHeight="false" outlineLevel="0" collapsed="false">
      <c r="A8" s="18" t="s">
        <v>198</v>
      </c>
      <c r="B8" s="18"/>
      <c r="C8" s="18" t="s">
        <v>199</v>
      </c>
      <c r="D8" s="18" t="s">
        <v>200</v>
      </c>
      <c r="E8" s="18" t="s">
        <v>201</v>
      </c>
      <c r="F8" s="18" t="s">
        <v>32</v>
      </c>
      <c r="G8" s="18" t="s">
        <v>170</v>
      </c>
      <c r="H8" s="18" t="s">
        <v>36</v>
      </c>
      <c r="I8" s="18" t="s">
        <v>40</v>
      </c>
      <c r="J8" s="18" t="s">
        <v>202</v>
      </c>
      <c r="K8" s="18" t="s">
        <v>124</v>
      </c>
      <c r="L8" s="19"/>
      <c r="M8" s="18"/>
      <c r="N8" s="4" t="n">
        <f aca="false">IF(OR(M8&lt;&gt;"",F8="X",F8="O",F8="Q"),0,1)</f>
        <v>1</v>
      </c>
      <c r="O8" s="4" t="n">
        <f aca="false">IFERROR(INDEX(Weights!$B$5:$B$17,MATCH(F8,Weights!$A$5:$A$17,0)),0)</f>
        <v>2</v>
      </c>
      <c r="P8" s="4" t="n">
        <f aca="false">IFERROR(INDEX(Weights!$B$21:$B$23,MATCH(I8,Weights!$A$21:$A$23,0)),0)</f>
        <v>0.4</v>
      </c>
      <c r="Q8" s="4" t="n">
        <f aca="false">IF(L8&lt;&gt;"",IFERROR(INDEX(Weights!$B$33:$B$36,MATCH(L8,Weights!$A$33:$A$36,0)),0),IFERROR(INDEX(Weights!$B$27:$B$29,MATCH(K8,Weights!$A$27:$A$29,0)),0))</f>
        <v>0.5</v>
      </c>
      <c r="R8" s="20" t="n">
        <f aca="false">N8*O8*P8*Q8</f>
        <v>0.4</v>
      </c>
      <c r="S8" s="18" t="s">
        <v>203</v>
      </c>
    </row>
    <row r="9" customFormat="false" ht="26.85" hidden="false" customHeight="false" outlineLevel="0" collapsed="false">
      <c r="A9" s="18" t="s">
        <v>204</v>
      </c>
      <c r="B9" s="18"/>
      <c r="C9" s="18" t="s">
        <v>205</v>
      </c>
      <c r="D9" s="18" t="s">
        <v>206</v>
      </c>
      <c r="E9" s="18" t="s">
        <v>207</v>
      </c>
      <c r="F9" s="18" t="s">
        <v>26</v>
      </c>
      <c r="G9" s="18" t="s">
        <v>170</v>
      </c>
      <c r="H9" s="18" t="s">
        <v>36</v>
      </c>
      <c r="I9" s="18" t="s">
        <v>40</v>
      </c>
      <c r="J9" s="18" t="s">
        <v>186</v>
      </c>
      <c r="K9" s="18" t="s">
        <v>124</v>
      </c>
      <c r="L9" s="19"/>
      <c r="M9" s="18" t="s">
        <v>172</v>
      </c>
      <c r="N9" s="4" t="n">
        <f aca="false">IF(OR(M9&lt;&gt;"",F9="X",F9="O",F9="Q"),0,1)</f>
        <v>0</v>
      </c>
      <c r="O9" s="4" t="n">
        <f aca="false">IFERROR(INDEX(Weights!$B$5:$B$17,MATCH(F9,Weights!$A$5:$A$17,0)),0)</f>
        <v>1</v>
      </c>
      <c r="P9" s="4" t="n">
        <f aca="false">IFERROR(INDEX(Weights!$B$21:$B$23,MATCH(I9,Weights!$A$21:$A$23,0)),0)</f>
        <v>0.4</v>
      </c>
      <c r="Q9" s="4" t="n">
        <f aca="false">IF(L9&lt;&gt;"",IFERROR(INDEX(Weights!$B$33:$B$36,MATCH(L9,Weights!$A$33:$A$36,0)),0),IFERROR(INDEX(Weights!$B$27:$B$29,MATCH(K9,Weights!$A$27:$A$29,0)),0))</f>
        <v>0.5</v>
      </c>
      <c r="R9" s="20" t="n">
        <f aca="false">N9*O9*P9*Q9</f>
        <v>0</v>
      </c>
      <c r="S9" s="18" t="s">
        <v>208</v>
      </c>
    </row>
    <row r="10" customFormat="false" ht="26.85" hidden="false" customHeight="false" outlineLevel="0" collapsed="false">
      <c r="A10" s="18" t="s">
        <v>209</v>
      </c>
      <c r="B10" s="18"/>
      <c r="C10" s="18" t="s">
        <v>210</v>
      </c>
      <c r="D10" s="18" t="s">
        <v>200</v>
      </c>
      <c r="E10" s="18" t="s">
        <v>211</v>
      </c>
      <c r="F10" s="18" t="s">
        <v>38</v>
      </c>
      <c r="G10" s="18" t="s">
        <v>185</v>
      </c>
      <c r="H10" s="18" t="s">
        <v>36</v>
      </c>
      <c r="I10" s="18" t="s">
        <v>40</v>
      </c>
      <c r="J10" s="18" t="s">
        <v>186</v>
      </c>
      <c r="K10" s="18" t="s">
        <v>124</v>
      </c>
      <c r="L10" s="19"/>
      <c r="M10" s="18"/>
      <c r="N10" s="4" t="n">
        <f aca="false">IF(OR(M10&lt;&gt;"",F10="X",F10="O",F10="Q"),0,1)</f>
        <v>1</v>
      </c>
      <c r="O10" s="4" t="n">
        <f aca="false">IFERROR(INDEX(Weights!$B$5:$B$17,MATCH(F10,Weights!$A$5:$A$17,0)),0)</f>
        <v>2</v>
      </c>
      <c r="P10" s="4" t="n">
        <f aca="false">IFERROR(INDEX(Weights!$B$21:$B$23,MATCH(I10,Weights!$A$21:$A$23,0)),0)</f>
        <v>0.4</v>
      </c>
      <c r="Q10" s="4" t="n">
        <f aca="false">IF(L10&lt;&gt;"",IFERROR(INDEX(Weights!$B$33:$B$36,MATCH(L10,Weights!$A$33:$A$36,0)),0),IFERROR(INDEX(Weights!$B$27:$B$29,MATCH(K10,Weights!$A$27:$A$29,0)),0))</f>
        <v>0.5</v>
      </c>
      <c r="R10" s="20" t="n">
        <f aca="false">N10*O10*P10*Q10</f>
        <v>0.4</v>
      </c>
      <c r="S10" s="18" t="s">
        <v>212</v>
      </c>
    </row>
    <row r="11" customFormat="false" ht="26.85" hidden="false" customHeight="false" outlineLevel="0" collapsed="false">
      <c r="A11" s="18" t="s">
        <v>213</v>
      </c>
      <c r="B11" s="18"/>
      <c r="C11" s="18" t="s">
        <v>214</v>
      </c>
      <c r="D11" s="18" t="s">
        <v>215</v>
      </c>
      <c r="E11" s="18" t="s">
        <v>216</v>
      </c>
      <c r="F11" s="18" t="s">
        <v>38</v>
      </c>
      <c r="G11" s="18" t="s">
        <v>185</v>
      </c>
      <c r="H11" s="18" t="s">
        <v>36</v>
      </c>
      <c r="I11" s="18" t="s">
        <v>51</v>
      </c>
      <c r="J11" s="18" t="s">
        <v>217</v>
      </c>
      <c r="K11" s="18" t="s">
        <v>124</v>
      </c>
      <c r="L11" s="19"/>
      <c r="M11" s="18"/>
      <c r="N11" s="4" t="n">
        <f aca="false">IF(OR(M11&lt;&gt;"",F11="X",F11="O",F11="Q"),0,1)</f>
        <v>1</v>
      </c>
      <c r="O11" s="4" t="n">
        <f aca="false">IFERROR(INDEX(Weights!$B$5:$B$17,MATCH(F11,Weights!$A$5:$A$17,0)),0)</f>
        <v>2</v>
      </c>
      <c r="P11" s="4" t="n">
        <f aca="false">IFERROR(INDEX(Weights!$B$21:$B$23,MATCH(I11,Weights!$A$21:$A$23,0)),0)</f>
        <v>1</v>
      </c>
      <c r="Q11" s="4" t="n">
        <f aca="false">IF(L11&lt;&gt;"",IFERROR(INDEX(Weights!$B$33:$B$36,MATCH(L11,Weights!$A$33:$A$36,0)),0),IFERROR(INDEX(Weights!$B$27:$B$29,MATCH(K11,Weights!$A$27:$A$29,0)),0))</f>
        <v>0.5</v>
      </c>
      <c r="R11" s="20" t="n">
        <f aca="false">N11*O11*P11*Q11</f>
        <v>1</v>
      </c>
      <c r="S11" s="18"/>
    </row>
    <row r="12" customFormat="false" ht="26.85" hidden="false" customHeight="false" outlineLevel="0" collapsed="false">
      <c r="A12" s="18" t="s">
        <v>218</v>
      </c>
      <c r="B12" s="18"/>
      <c r="C12" s="18" t="s">
        <v>219</v>
      </c>
      <c r="D12" s="18" t="s">
        <v>220</v>
      </c>
      <c r="E12" s="18" t="s">
        <v>221</v>
      </c>
      <c r="F12" s="18" t="s">
        <v>34</v>
      </c>
      <c r="G12" s="18" t="s">
        <v>185</v>
      </c>
      <c r="H12" s="18" t="s">
        <v>222</v>
      </c>
      <c r="I12" s="18" t="s">
        <v>40</v>
      </c>
      <c r="J12" s="18" t="s">
        <v>186</v>
      </c>
      <c r="K12" s="18" t="s">
        <v>126</v>
      </c>
      <c r="L12" s="19"/>
      <c r="M12" s="18"/>
      <c r="N12" s="4" t="n">
        <f aca="false">IF(OR(M12&lt;&gt;"",F12="X",F12="O",F12="Q"),0,1)</f>
        <v>1</v>
      </c>
      <c r="O12" s="4" t="n">
        <f aca="false">IFERROR(INDEX(Weights!$B$5:$B$17,MATCH(F12,Weights!$A$5:$A$17,0)),0)</f>
        <v>2</v>
      </c>
      <c r="P12" s="4" t="n">
        <f aca="false">IFERROR(INDEX(Weights!$B$21:$B$23,MATCH(I12,Weights!$A$21:$A$23,0)),0)</f>
        <v>0.4</v>
      </c>
      <c r="Q12" s="4" t="n">
        <f aca="false">IF(L12&lt;&gt;"",IFERROR(INDEX(Weights!$B$33:$B$36,MATCH(L12,Weights!$A$33:$A$36,0)),0),IFERROR(INDEX(Weights!$B$27:$B$29,MATCH(K12,Weights!$A$27:$A$29,0)),0))</f>
        <v>0.25</v>
      </c>
      <c r="R12" s="20" t="n">
        <f aca="false">N12*O12*P12*Q12</f>
        <v>0.2</v>
      </c>
      <c r="S12" s="18"/>
    </row>
    <row r="13" customFormat="false" ht="26.85" hidden="false" customHeight="false" outlineLevel="0" collapsed="false">
      <c r="A13" s="18" t="s">
        <v>223</v>
      </c>
      <c r="B13" s="18"/>
      <c r="C13" s="18" t="s">
        <v>224</v>
      </c>
      <c r="D13" s="18" t="s">
        <v>225</v>
      </c>
      <c r="E13" s="18" t="s">
        <v>226</v>
      </c>
      <c r="F13" s="18" t="s">
        <v>34</v>
      </c>
      <c r="G13" s="18" t="s">
        <v>185</v>
      </c>
      <c r="H13" s="18" t="s">
        <v>36</v>
      </c>
      <c r="I13" s="18" t="s">
        <v>40</v>
      </c>
      <c r="J13" s="18" t="s">
        <v>186</v>
      </c>
      <c r="K13" s="18" t="s">
        <v>126</v>
      </c>
      <c r="L13" s="19"/>
      <c r="M13" s="18"/>
      <c r="N13" s="4" t="n">
        <f aca="false">IF(OR(M13&lt;&gt;"",F13="X",F13="O",F13="Q"),0,1)</f>
        <v>1</v>
      </c>
      <c r="O13" s="4" t="n">
        <f aca="false">IFERROR(INDEX(Weights!$B$5:$B$17,MATCH(F13,Weights!$A$5:$A$17,0)),0)</f>
        <v>2</v>
      </c>
      <c r="P13" s="4" t="n">
        <f aca="false">IFERROR(INDEX(Weights!$B$21:$B$23,MATCH(I13,Weights!$A$21:$A$23,0)),0)</f>
        <v>0.4</v>
      </c>
      <c r="Q13" s="4" t="n">
        <f aca="false">IF(L13&lt;&gt;"",IFERROR(INDEX(Weights!$B$33:$B$36,MATCH(L13,Weights!$A$33:$A$36,0)),0),IFERROR(INDEX(Weights!$B$27:$B$29,MATCH(K13,Weights!$A$27:$A$29,0)),0))</f>
        <v>0.25</v>
      </c>
      <c r="R13" s="20" t="n">
        <f aca="false">N13*O13*P13*Q13</f>
        <v>0.2</v>
      </c>
      <c r="S13" s="18" t="s">
        <v>227</v>
      </c>
    </row>
    <row r="14" customFormat="false" ht="26.85" hidden="false" customHeight="false" outlineLevel="0" collapsed="false">
      <c r="A14" s="18" t="s">
        <v>228</v>
      </c>
      <c r="B14" s="18"/>
      <c r="C14" s="18" t="s">
        <v>219</v>
      </c>
      <c r="D14" s="18" t="s">
        <v>69</v>
      </c>
      <c r="E14" s="18" t="s">
        <v>229</v>
      </c>
      <c r="F14" s="18" t="s">
        <v>38</v>
      </c>
      <c r="G14" s="18" t="s">
        <v>185</v>
      </c>
      <c r="H14" s="18" t="s">
        <v>222</v>
      </c>
      <c r="I14" s="18" t="s">
        <v>40</v>
      </c>
      <c r="J14" s="18" t="s">
        <v>186</v>
      </c>
      <c r="K14" s="18" t="s">
        <v>124</v>
      </c>
      <c r="L14" s="19"/>
      <c r="M14" s="18"/>
      <c r="N14" s="4" t="n">
        <f aca="false">IF(OR(M14&lt;&gt;"",F14="X",F14="O",F14="Q"),0,1)</f>
        <v>1</v>
      </c>
      <c r="O14" s="4" t="n">
        <f aca="false">IFERROR(INDEX(Weights!$B$5:$B$17,MATCH(F14,Weights!$A$5:$A$17,0)),0)</f>
        <v>2</v>
      </c>
      <c r="P14" s="4" t="n">
        <f aca="false">IFERROR(INDEX(Weights!$B$21:$B$23,MATCH(I14,Weights!$A$21:$A$23,0)),0)</f>
        <v>0.4</v>
      </c>
      <c r="Q14" s="4" t="n">
        <f aca="false">IF(L14&lt;&gt;"",IFERROR(INDEX(Weights!$B$33:$B$36,MATCH(L14,Weights!$A$33:$A$36,0)),0),IFERROR(INDEX(Weights!$B$27:$B$29,MATCH(K14,Weights!$A$27:$A$29,0)),0))</f>
        <v>0.5</v>
      </c>
      <c r="R14" s="20" t="n">
        <f aca="false">N14*O14*P14*Q14</f>
        <v>0.4</v>
      </c>
      <c r="S14" s="18"/>
    </row>
    <row r="15" customFormat="false" ht="26.85" hidden="false" customHeight="false" outlineLevel="0" collapsed="false">
      <c r="A15" s="18" t="s">
        <v>230</v>
      </c>
      <c r="B15" s="18"/>
      <c r="C15" s="18" t="s">
        <v>219</v>
      </c>
      <c r="D15" s="18" t="s">
        <v>231</v>
      </c>
      <c r="E15" s="18" t="s">
        <v>232</v>
      </c>
      <c r="F15" s="18" t="s">
        <v>110</v>
      </c>
      <c r="G15" s="18" t="s">
        <v>185</v>
      </c>
      <c r="H15" s="18" t="s">
        <v>222</v>
      </c>
      <c r="I15" s="18" t="s">
        <v>51</v>
      </c>
      <c r="J15" s="18" t="s">
        <v>233</v>
      </c>
      <c r="K15" s="18" t="s">
        <v>126</v>
      </c>
      <c r="L15" s="19"/>
      <c r="M15" s="18"/>
      <c r="N15" s="4" t="n">
        <f aca="false">IF(OR(M15&lt;&gt;"",F15="X",F15="O",F15="Q"),0,1)</f>
        <v>0</v>
      </c>
      <c r="O15" s="4" t="n">
        <f aca="false">IFERROR(INDEX(Weights!$B$5:$B$17,MATCH(F15,Weights!$A$5:$A$17,0)),0)</f>
        <v>0</v>
      </c>
      <c r="P15" s="4" t="n">
        <f aca="false">IFERROR(INDEX(Weights!$B$21:$B$23,MATCH(I15,Weights!$A$21:$A$23,0)),0)</f>
        <v>1</v>
      </c>
      <c r="Q15" s="4" t="n">
        <f aca="false">IF(L15&lt;&gt;"",IFERROR(INDEX(Weights!$B$33:$B$36,MATCH(L15,Weights!$A$33:$A$36,0)),0),IFERROR(INDEX(Weights!$B$27:$B$29,MATCH(K15,Weights!$A$27:$A$29,0)),0))</f>
        <v>0.25</v>
      </c>
      <c r="R15" s="20" t="n">
        <f aca="false">N15*O15*P15*Q15</f>
        <v>0</v>
      </c>
      <c r="S15" s="18" t="s">
        <v>234</v>
      </c>
    </row>
    <row r="16" customFormat="false" ht="26.85" hidden="false" customHeight="false" outlineLevel="0" collapsed="false">
      <c r="A16" s="18" t="s">
        <v>235</v>
      </c>
      <c r="B16" s="18"/>
      <c r="C16" s="18" t="s">
        <v>236</v>
      </c>
      <c r="D16" s="18" t="s">
        <v>237</v>
      </c>
      <c r="E16" s="18" t="s">
        <v>238</v>
      </c>
      <c r="F16" s="18" t="s">
        <v>36</v>
      </c>
      <c r="G16" s="18" t="s">
        <v>178</v>
      </c>
      <c r="H16" s="18" t="s">
        <v>222</v>
      </c>
      <c r="I16" s="18" t="s">
        <v>40</v>
      </c>
      <c r="J16" s="18" t="s">
        <v>186</v>
      </c>
      <c r="K16" s="18" t="s">
        <v>124</v>
      </c>
      <c r="L16" s="19"/>
      <c r="M16" s="18"/>
      <c r="N16" s="4" t="n">
        <f aca="false">IF(OR(M16&lt;&gt;"",F16="X",F16="O",F16="Q"),0,1)</f>
        <v>1</v>
      </c>
      <c r="O16" s="4" t="n">
        <f aca="false">IFERROR(INDEX(Weights!$B$5:$B$17,MATCH(F16,Weights!$A$5:$A$17,0)),0)</f>
        <v>1.5</v>
      </c>
      <c r="P16" s="4" t="n">
        <f aca="false">IFERROR(INDEX(Weights!$B$21:$B$23,MATCH(I16,Weights!$A$21:$A$23,0)),0)</f>
        <v>0.4</v>
      </c>
      <c r="Q16" s="4" t="n">
        <f aca="false">IF(L16&lt;&gt;"",IFERROR(INDEX(Weights!$B$33:$B$36,MATCH(L16,Weights!$A$33:$A$36,0)),0),IFERROR(INDEX(Weights!$B$27:$B$29,MATCH(K16,Weights!$A$27:$A$29,0)),0))</f>
        <v>0.5</v>
      </c>
      <c r="R16" s="20" t="n">
        <f aca="false">N16*O16*P16*Q16</f>
        <v>0.3</v>
      </c>
      <c r="S16" s="18" t="s">
        <v>239</v>
      </c>
    </row>
    <row r="17" customFormat="false" ht="26.85" hidden="false" customHeight="false" outlineLevel="0" collapsed="false">
      <c r="A17" s="18" t="s">
        <v>240</v>
      </c>
      <c r="B17" s="18"/>
      <c r="C17" s="18" t="s">
        <v>219</v>
      </c>
      <c r="D17" s="18" t="s">
        <v>225</v>
      </c>
      <c r="E17" s="18" t="s">
        <v>241</v>
      </c>
      <c r="F17" s="18" t="s">
        <v>36</v>
      </c>
      <c r="G17" s="18" t="s">
        <v>178</v>
      </c>
      <c r="H17" s="18" t="s">
        <v>222</v>
      </c>
      <c r="I17" s="18" t="s">
        <v>40</v>
      </c>
      <c r="J17" s="18" t="s">
        <v>186</v>
      </c>
      <c r="K17" s="18" t="s">
        <v>124</v>
      </c>
      <c r="L17" s="19"/>
      <c r="M17" s="18" t="s">
        <v>235</v>
      </c>
      <c r="N17" s="4" t="n">
        <f aca="false">IF(OR(M17&lt;&gt;"",F17="X",F17="O",F17="Q"),0,1)</f>
        <v>0</v>
      </c>
      <c r="O17" s="4" t="n">
        <f aca="false">IFERROR(INDEX(Weights!$B$5:$B$17,MATCH(F17,Weights!$A$5:$A$17,0)),0)</f>
        <v>1.5</v>
      </c>
      <c r="P17" s="4" t="n">
        <f aca="false">IFERROR(INDEX(Weights!$B$21:$B$23,MATCH(I17,Weights!$A$21:$A$23,0)),0)</f>
        <v>0.4</v>
      </c>
      <c r="Q17" s="4" t="n">
        <f aca="false">IF(L17&lt;&gt;"",IFERROR(INDEX(Weights!$B$33:$B$36,MATCH(L17,Weights!$A$33:$A$36,0)),0),IFERROR(INDEX(Weights!$B$27:$B$29,MATCH(K17,Weights!$A$27:$A$29,0)),0))</f>
        <v>0.5</v>
      </c>
      <c r="R17" s="20" t="n">
        <f aca="false">N17*O17*P17*Q17</f>
        <v>0</v>
      </c>
      <c r="S17" s="18" t="s">
        <v>242</v>
      </c>
    </row>
    <row r="18" customFormat="false" ht="26.85" hidden="false" customHeight="false" outlineLevel="0" collapsed="false">
      <c r="A18" s="18" t="s">
        <v>243</v>
      </c>
      <c r="B18" s="18"/>
      <c r="C18" s="18" t="s">
        <v>244</v>
      </c>
      <c r="D18" s="18" t="s">
        <v>245</v>
      </c>
      <c r="E18" s="18" t="s">
        <v>246</v>
      </c>
      <c r="F18" s="18" t="s">
        <v>34</v>
      </c>
      <c r="G18" s="18" t="s">
        <v>163</v>
      </c>
      <c r="H18" s="18" t="s">
        <v>36</v>
      </c>
      <c r="I18" s="18" t="s">
        <v>40</v>
      </c>
      <c r="J18" s="18" t="s">
        <v>186</v>
      </c>
      <c r="K18" s="18" t="s">
        <v>124</v>
      </c>
      <c r="L18" s="19"/>
      <c r="M18" s="18"/>
      <c r="N18" s="4" t="n">
        <f aca="false">IF(OR(M18&lt;&gt;"",F18="X",F18="O",F18="Q"),0,1)</f>
        <v>1</v>
      </c>
      <c r="O18" s="4" t="n">
        <f aca="false">IFERROR(INDEX(Weights!$B$5:$B$17,MATCH(F18,Weights!$A$5:$A$17,0)),0)</f>
        <v>2</v>
      </c>
      <c r="P18" s="4" t="n">
        <f aca="false">IFERROR(INDEX(Weights!$B$21:$B$23,MATCH(I18,Weights!$A$21:$A$23,0)),0)</f>
        <v>0.4</v>
      </c>
      <c r="Q18" s="4" t="n">
        <f aca="false">IF(L18&lt;&gt;"",IFERROR(INDEX(Weights!$B$33:$B$36,MATCH(L18,Weights!$A$33:$A$36,0)),0),IFERROR(INDEX(Weights!$B$27:$B$29,MATCH(K18,Weights!$A$27:$A$29,0)),0))</f>
        <v>0.5</v>
      </c>
      <c r="R18" s="20" t="n">
        <f aca="false">N18*O18*P18*Q18</f>
        <v>0.4</v>
      </c>
      <c r="S18" s="18" t="s">
        <v>227</v>
      </c>
    </row>
    <row r="19" customFormat="false" ht="26.85" hidden="false" customHeight="false" outlineLevel="0" collapsed="false">
      <c r="A19" s="18" t="s">
        <v>247</v>
      </c>
      <c r="B19" s="18"/>
      <c r="C19" s="18" t="s">
        <v>219</v>
      </c>
      <c r="D19" s="18" t="s">
        <v>225</v>
      </c>
      <c r="E19" s="18" t="s">
        <v>248</v>
      </c>
      <c r="F19" s="18" t="s">
        <v>110</v>
      </c>
      <c r="G19" s="18" t="s">
        <v>185</v>
      </c>
      <c r="H19" s="18" t="s">
        <v>222</v>
      </c>
      <c r="I19" s="18" t="s">
        <v>40</v>
      </c>
      <c r="J19" s="18" t="s">
        <v>186</v>
      </c>
      <c r="K19" s="18" t="s">
        <v>124</v>
      </c>
      <c r="L19" s="19"/>
      <c r="M19" s="18"/>
      <c r="N19" s="4" t="n">
        <f aca="false">IF(OR(M19&lt;&gt;"",F19="X",F19="O",F19="Q"),0,1)</f>
        <v>0</v>
      </c>
      <c r="O19" s="4" t="n">
        <f aca="false">IFERROR(INDEX(Weights!$B$5:$B$17,MATCH(F19,Weights!$A$5:$A$17,0)),0)</f>
        <v>0</v>
      </c>
      <c r="P19" s="4" t="n">
        <f aca="false">IFERROR(INDEX(Weights!$B$21:$B$23,MATCH(I19,Weights!$A$21:$A$23,0)),0)</f>
        <v>0.4</v>
      </c>
      <c r="Q19" s="4" t="n">
        <f aca="false">IF(L19&lt;&gt;"",IFERROR(INDEX(Weights!$B$33:$B$36,MATCH(L19,Weights!$A$33:$A$36,0)),0),IFERROR(INDEX(Weights!$B$27:$B$29,MATCH(K19,Weights!$A$27:$A$29,0)),0))</f>
        <v>0.5</v>
      </c>
      <c r="R19" s="20" t="n">
        <f aca="false">N19*O19*P19*Q19</f>
        <v>0</v>
      </c>
      <c r="S19" s="18" t="s">
        <v>234</v>
      </c>
    </row>
    <row r="20" customFormat="false" ht="26.85" hidden="false" customHeight="false" outlineLevel="0" collapsed="false">
      <c r="A20" s="18" t="s">
        <v>249</v>
      </c>
      <c r="B20" s="18"/>
      <c r="C20" s="18" t="s">
        <v>250</v>
      </c>
      <c r="D20" s="18" t="s">
        <v>251</v>
      </c>
      <c r="E20" s="18" t="s">
        <v>252</v>
      </c>
      <c r="F20" s="18" t="s">
        <v>34</v>
      </c>
      <c r="G20" s="18" t="s">
        <v>163</v>
      </c>
      <c r="H20" s="18" t="s">
        <v>36</v>
      </c>
      <c r="I20" s="18" t="s">
        <v>40</v>
      </c>
      <c r="J20" s="18" t="s">
        <v>186</v>
      </c>
      <c r="K20" s="18" t="s">
        <v>124</v>
      </c>
      <c r="L20" s="19"/>
      <c r="M20" s="18"/>
      <c r="N20" s="4" t="n">
        <f aca="false">IF(OR(M20&lt;&gt;"",F20="X",F20="O",F20="Q"),0,1)</f>
        <v>1</v>
      </c>
      <c r="O20" s="4" t="n">
        <f aca="false">IFERROR(INDEX(Weights!$B$5:$B$17,MATCH(F20,Weights!$A$5:$A$17,0)),0)</f>
        <v>2</v>
      </c>
      <c r="P20" s="4" t="n">
        <f aca="false">IFERROR(INDEX(Weights!$B$21:$B$23,MATCH(I20,Weights!$A$21:$A$23,0)),0)</f>
        <v>0.4</v>
      </c>
      <c r="Q20" s="4" t="n">
        <f aca="false">IF(L20&lt;&gt;"",IFERROR(INDEX(Weights!$B$33:$B$36,MATCH(L20,Weights!$A$33:$A$36,0)),0),IFERROR(INDEX(Weights!$B$27:$B$29,MATCH(K20,Weights!$A$27:$A$29,0)),0))</f>
        <v>0.5</v>
      </c>
      <c r="R20" s="20" t="n">
        <f aca="false">N20*O20*P20*Q20</f>
        <v>0.4</v>
      </c>
      <c r="S20" s="18" t="s">
        <v>227</v>
      </c>
    </row>
    <row r="21" customFormat="false" ht="26.85" hidden="false" customHeight="false" outlineLevel="0" collapsed="false">
      <c r="A21" s="18" t="s">
        <v>253</v>
      </c>
      <c r="B21" s="18"/>
      <c r="C21" s="18" t="s">
        <v>250</v>
      </c>
      <c r="D21" s="18" t="s">
        <v>251</v>
      </c>
      <c r="E21" s="18" t="s">
        <v>254</v>
      </c>
      <c r="F21" s="18" t="s">
        <v>34</v>
      </c>
      <c r="G21" s="18" t="s">
        <v>163</v>
      </c>
      <c r="H21" s="18" t="s">
        <v>36</v>
      </c>
      <c r="I21" s="18" t="s">
        <v>40</v>
      </c>
      <c r="J21" s="18" t="s">
        <v>186</v>
      </c>
      <c r="K21" s="18" t="s">
        <v>124</v>
      </c>
      <c r="L21" s="19"/>
      <c r="M21" s="18"/>
      <c r="N21" s="4" t="n">
        <f aca="false">IF(OR(M21&lt;&gt;"",F21="X",F21="O",F21="Q"),0,1)</f>
        <v>1</v>
      </c>
      <c r="O21" s="4" t="n">
        <f aca="false">IFERROR(INDEX(Weights!$B$5:$B$17,MATCH(F21,Weights!$A$5:$A$17,0)),0)</f>
        <v>2</v>
      </c>
      <c r="P21" s="4" t="n">
        <f aca="false">IFERROR(INDEX(Weights!$B$21:$B$23,MATCH(I21,Weights!$A$21:$A$23,0)),0)</f>
        <v>0.4</v>
      </c>
      <c r="Q21" s="4" t="n">
        <f aca="false">IF(L21&lt;&gt;"",IFERROR(INDEX(Weights!$B$33:$B$36,MATCH(L21,Weights!$A$33:$A$36,0)),0),IFERROR(INDEX(Weights!$B$27:$B$29,MATCH(K21,Weights!$A$27:$A$29,0)),0))</f>
        <v>0.5</v>
      </c>
      <c r="R21" s="20" t="n">
        <f aca="false">N21*O21*P21*Q21</f>
        <v>0.4</v>
      </c>
      <c r="S21" s="18" t="s">
        <v>227</v>
      </c>
    </row>
    <row r="22" customFormat="false" ht="26.85" hidden="false" customHeight="false" outlineLevel="0" collapsed="false">
      <c r="A22" s="18" t="s">
        <v>255</v>
      </c>
      <c r="B22" s="18"/>
      <c r="C22" s="18" t="s">
        <v>256</v>
      </c>
      <c r="D22" s="18" t="s">
        <v>71</v>
      </c>
      <c r="E22" s="18" t="s">
        <v>257</v>
      </c>
      <c r="F22" s="18" t="s">
        <v>38</v>
      </c>
      <c r="G22" s="18" t="s">
        <v>185</v>
      </c>
      <c r="H22" s="18" t="s">
        <v>36</v>
      </c>
      <c r="I22" s="18" t="s">
        <v>52</v>
      </c>
      <c r="J22" s="18" t="s">
        <v>258</v>
      </c>
      <c r="K22" s="18" t="s">
        <v>124</v>
      </c>
      <c r="L22" s="19"/>
      <c r="M22" s="18"/>
      <c r="N22" s="4" t="n">
        <f aca="false">IF(OR(M22&lt;&gt;"",F22="X",F22="O",F22="Q"),0,1)</f>
        <v>1</v>
      </c>
      <c r="O22" s="4" t="n">
        <f aca="false">IFERROR(INDEX(Weights!$B$5:$B$17,MATCH(F22,Weights!$A$5:$A$17,0)),0)</f>
        <v>2</v>
      </c>
      <c r="P22" s="4" t="n">
        <f aca="false">IFERROR(INDEX(Weights!$B$21:$B$23,MATCH(I22,Weights!$A$21:$A$23,0)),0)</f>
        <v>0.7</v>
      </c>
      <c r="Q22" s="4" t="n">
        <f aca="false">IF(L22&lt;&gt;"",IFERROR(INDEX(Weights!$B$33:$B$36,MATCH(L22,Weights!$A$33:$A$36,0)),0),IFERROR(INDEX(Weights!$B$27:$B$29,MATCH(K22,Weights!$A$27:$A$29,0)),0))</f>
        <v>0.5</v>
      </c>
      <c r="R22" s="20" t="n">
        <f aca="false">N22*O22*P22*Q22</f>
        <v>0.7</v>
      </c>
      <c r="S22" s="18" t="s">
        <v>259</v>
      </c>
    </row>
    <row r="23" customFormat="false" ht="26.85" hidden="false" customHeight="false" outlineLevel="0" collapsed="false">
      <c r="A23" s="18" t="s">
        <v>260</v>
      </c>
      <c r="B23" s="18"/>
      <c r="C23" s="18" t="s">
        <v>256</v>
      </c>
      <c r="D23" s="18" t="s">
        <v>261</v>
      </c>
      <c r="E23" s="18" t="s">
        <v>262</v>
      </c>
      <c r="F23" s="18" t="s">
        <v>38</v>
      </c>
      <c r="G23" s="18" t="s">
        <v>185</v>
      </c>
      <c r="H23" s="18" t="s">
        <v>36</v>
      </c>
      <c r="I23" s="18" t="s">
        <v>40</v>
      </c>
      <c r="J23" s="18" t="s">
        <v>186</v>
      </c>
      <c r="K23" s="18" t="s">
        <v>124</v>
      </c>
      <c r="L23" s="19"/>
      <c r="M23" s="18"/>
      <c r="N23" s="4" t="n">
        <f aca="false">IF(OR(M23&lt;&gt;"",F23="X",F23="O",F23="Q"),0,1)</f>
        <v>1</v>
      </c>
      <c r="O23" s="4" t="n">
        <f aca="false">IFERROR(INDEX(Weights!$B$5:$B$17,MATCH(F23,Weights!$A$5:$A$17,0)),0)</f>
        <v>2</v>
      </c>
      <c r="P23" s="4" t="n">
        <f aca="false">IFERROR(INDEX(Weights!$B$21:$B$23,MATCH(I23,Weights!$A$21:$A$23,0)),0)</f>
        <v>0.4</v>
      </c>
      <c r="Q23" s="4" t="n">
        <f aca="false">IF(L23&lt;&gt;"",IFERROR(INDEX(Weights!$B$33:$B$36,MATCH(L23,Weights!$A$33:$A$36,0)),0),IFERROR(INDEX(Weights!$B$27:$B$29,MATCH(K23,Weights!$A$27:$A$29,0)),0))</f>
        <v>0.5</v>
      </c>
      <c r="R23" s="20" t="n">
        <f aca="false">N23*O23*P23*Q23</f>
        <v>0.4</v>
      </c>
      <c r="S23" s="18" t="s">
        <v>263</v>
      </c>
    </row>
    <row r="24" customFormat="false" ht="26.85" hidden="false" customHeight="false" outlineLevel="0" collapsed="false">
      <c r="A24" s="18" t="s">
        <v>264</v>
      </c>
      <c r="B24" s="18"/>
      <c r="C24" s="18" t="s">
        <v>265</v>
      </c>
      <c r="D24" s="18" t="s">
        <v>266</v>
      </c>
      <c r="E24" s="18" t="s">
        <v>267</v>
      </c>
      <c r="F24" s="18" t="s">
        <v>36</v>
      </c>
      <c r="G24" s="18" t="s">
        <v>185</v>
      </c>
      <c r="H24" s="18" t="s">
        <v>36</v>
      </c>
      <c r="I24" s="18" t="s">
        <v>40</v>
      </c>
      <c r="J24" s="18" t="s">
        <v>186</v>
      </c>
      <c r="K24" s="18" t="s">
        <v>124</v>
      </c>
      <c r="L24" s="19"/>
      <c r="M24" s="18"/>
      <c r="N24" s="4" t="n">
        <f aca="false">IF(OR(M24&lt;&gt;"",F24="X",F24="O",F24="Q"),0,1)</f>
        <v>1</v>
      </c>
      <c r="O24" s="4" t="n">
        <f aca="false">IFERROR(INDEX(Weights!$B$5:$B$17,MATCH(F24,Weights!$A$5:$A$17,0)),0)</f>
        <v>1.5</v>
      </c>
      <c r="P24" s="4" t="n">
        <f aca="false">IFERROR(INDEX(Weights!$B$21:$B$23,MATCH(I24,Weights!$A$21:$A$23,0)),0)</f>
        <v>0.4</v>
      </c>
      <c r="Q24" s="4" t="n">
        <f aca="false">IF(L24&lt;&gt;"",IFERROR(INDEX(Weights!$B$33:$B$36,MATCH(L24,Weights!$A$33:$A$36,0)),0),IFERROR(INDEX(Weights!$B$27:$B$29,MATCH(K24,Weights!$A$27:$A$29,0)),0))</f>
        <v>0.5</v>
      </c>
      <c r="R24" s="20" t="n">
        <f aca="false">N24*O24*P24*Q24</f>
        <v>0.3</v>
      </c>
      <c r="S24" s="18" t="s">
        <v>268</v>
      </c>
    </row>
    <row r="25" customFormat="false" ht="15" hidden="false" customHeight="false" outlineLevel="0" collapsed="false">
      <c r="A25" s="18" t="s">
        <v>269</v>
      </c>
      <c r="B25" s="18" t="s">
        <v>270</v>
      </c>
      <c r="C25" s="18" t="s">
        <v>271</v>
      </c>
      <c r="D25" s="18" t="s">
        <v>70</v>
      </c>
      <c r="E25" s="18" t="s">
        <v>272</v>
      </c>
      <c r="F25" s="18" t="s">
        <v>42</v>
      </c>
      <c r="G25" s="18" t="s">
        <v>273</v>
      </c>
      <c r="H25" s="18" t="s">
        <v>36</v>
      </c>
      <c r="I25" s="18" t="s">
        <v>40</v>
      </c>
      <c r="J25" s="18" t="s">
        <v>186</v>
      </c>
      <c r="K25" s="18" t="s">
        <v>124</v>
      </c>
      <c r="L25" s="19"/>
      <c r="M25" s="18"/>
      <c r="N25" s="4" t="n">
        <f aca="false">IF(OR(M25&lt;&gt;"",F25="X",F25="O",F25="Q"),0,1)</f>
        <v>1</v>
      </c>
      <c r="O25" s="4" t="n">
        <f aca="false">IFERROR(INDEX(Weights!$B$5:$B$17,MATCH(F25,Weights!$A$5:$A$17,0)),0)</f>
        <v>0.25</v>
      </c>
      <c r="P25" s="4" t="n">
        <f aca="false">IFERROR(INDEX(Weights!$B$21:$B$23,MATCH(I25,Weights!$A$21:$A$23,0)),0)</f>
        <v>0.4</v>
      </c>
      <c r="Q25" s="4" t="n">
        <f aca="false">IF(L25&lt;&gt;"",IFERROR(INDEX(Weights!$B$33:$B$36,MATCH(L25,Weights!$A$33:$A$36,0)),0),IFERROR(INDEX(Weights!$B$27:$B$29,MATCH(K25,Weights!$A$27:$A$29,0)),0))</f>
        <v>0.5</v>
      </c>
      <c r="R25" s="20" t="n">
        <f aca="false">N25*O25*P25*Q25</f>
        <v>0.05</v>
      </c>
      <c r="S25" s="18"/>
    </row>
    <row r="26" customFormat="false" ht="15" hidden="false" customHeight="false" outlineLevel="0" collapsed="false">
      <c r="A26" s="18" t="s">
        <v>274</v>
      </c>
      <c r="B26" s="18" t="s">
        <v>270</v>
      </c>
      <c r="C26" s="18" t="s">
        <v>275</v>
      </c>
      <c r="D26" s="18" t="s">
        <v>70</v>
      </c>
      <c r="E26" s="18" t="s">
        <v>276</v>
      </c>
      <c r="F26" s="18" t="s">
        <v>42</v>
      </c>
      <c r="G26" s="18" t="s">
        <v>273</v>
      </c>
      <c r="H26" s="18" t="s">
        <v>36</v>
      </c>
      <c r="I26" s="18" t="s">
        <v>40</v>
      </c>
      <c r="J26" s="18" t="s">
        <v>186</v>
      </c>
      <c r="K26" s="18" t="s">
        <v>124</v>
      </c>
      <c r="L26" s="19"/>
      <c r="M26" s="18" t="s">
        <v>269</v>
      </c>
      <c r="N26" s="4" t="n">
        <f aca="false">IF(OR(M26&lt;&gt;"",F26="X",F26="O",F26="Q"),0,1)</f>
        <v>0</v>
      </c>
      <c r="O26" s="4" t="n">
        <f aca="false">IFERROR(INDEX(Weights!$B$5:$B$17,MATCH(F26,Weights!$A$5:$A$17,0)),0)</f>
        <v>0.25</v>
      </c>
      <c r="P26" s="4" t="n">
        <f aca="false">IFERROR(INDEX(Weights!$B$21:$B$23,MATCH(I26,Weights!$A$21:$A$23,0)),0)</f>
        <v>0.4</v>
      </c>
      <c r="Q26" s="4" t="n">
        <f aca="false">IF(L26&lt;&gt;"",IFERROR(INDEX(Weights!$B$33:$B$36,MATCH(L26,Weights!$A$33:$A$36,0)),0),IFERROR(INDEX(Weights!$B$27:$B$29,MATCH(K26,Weights!$A$27:$A$29,0)),0))</f>
        <v>0.5</v>
      </c>
      <c r="R26" s="20" t="n">
        <f aca="false">N26*O26*P26*Q26</f>
        <v>0</v>
      </c>
      <c r="S26" s="18" t="s">
        <v>277</v>
      </c>
    </row>
    <row r="27" customFormat="false" ht="26.85" hidden="false" customHeight="false" outlineLevel="0" collapsed="false">
      <c r="A27" s="18" t="s">
        <v>278</v>
      </c>
      <c r="B27" s="18" t="s">
        <v>270</v>
      </c>
      <c r="C27" s="18" t="s">
        <v>279</v>
      </c>
      <c r="D27" s="18" t="s">
        <v>70</v>
      </c>
      <c r="E27" s="18" t="s">
        <v>280</v>
      </c>
      <c r="F27" s="18" t="s">
        <v>34</v>
      </c>
      <c r="G27" s="18" t="s">
        <v>163</v>
      </c>
      <c r="H27" s="18" t="s">
        <v>36</v>
      </c>
      <c r="I27" s="18" t="s">
        <v>40</v>
      </c>
      <c r="J27" s="18" t="s">
        <v>186</v>
      </c>
      <c r="K27" s="18" t="s">
        <v>124</v>
      </c>
      <c r="L27" s="19"/>
      <c r="M27" s="18"/>
      <c r="N27" s="4" t="n">
        <f aca="false">IF(OR(M27&lt;&gt;"",F27="X",F27="O",F27="Q"),0,1)</f>
        <v>1</v>
      </c>
      <c r="O27" s="4" t="n">
        <f aca="false">IFERROR(INDEX(Weights!$B$5:$B$17,MATCH(F27,Weights!$A$5:$A$17,0)),0)</f>
        <v>2</v>
      </c>
      <c r="P27" s="4" t="n">
        <f aca="false">IFERROR(INDEX(Weights!$B$21:$B$23,MATCH(I27,Weights!$A$21:$A$23,0)),0)</f>
        <v>0.4</v>
      </c>
      <c r="Q27" s="4" t="n">
        <f aca="false">IF(L27&lt;&gt;"",IFERROR(INDEX(Weights!$B$33:$B$36,MATCH(L27,Weights!$A$33:$A$36,0)),0),IFERROR(INDEX(Weights!$B$27:$B$29,MATCH(K27,Weights!$A$27:$A$29,0)),0))</f>
        <v>0.5</v>
      </c>
      <c r="R27" s="20" t="n">
        <f aca="false">N27*O27*P27*Q27</f>
        <v>0.4</v>
      </c>
      <c r="S27" s="18" t="s">
        <v>281</v>
      </c>
    </row>
    <row r="28" customFormat="false" ht="26.85" hidden="false" customHeight="false" outlineLevel="0" collapsed="false">
      <c r="A28" s="18" t="s">
        <v>282</v>
      </c>
      <c r="B28" s="18" t="s">
        <v>270</v>
      </c>
      <c r="C28" s="18" t="s">
        <v>283</v>
      </c>
      <c r="D28" s="18" t="s">
        <v>284</v>
      </c>
      <c r="E28" s="18" t="s">
        <v>285</v>
      </c>
      <c r="F28" s="18" t="s">
        <v>34</v>
      </c>
      <c r="G28" s="18" t="s">
        <v>163</v>
      </c>
      <c r="H28" s="18" t="s">
        <v>36</v>
      </c>
      <c r="I28" s="18" t="s">
        <v>40</v>
      </c>
      <c r="J28" s="18" t="s">
        <v>186</v>
      </c>
      <c r="K28" s="18" t="s">
        <v>124</v>
      </c>
      <c r="L28" s="19"/>
      <c r="M28" s="18"/>
      <c r="N28" s="4" t="n">
        <f aca="false">IF(OR(M28&lt;&gt;"",F28="X",F28="O",F28="Q"),0,1)</f>
        <v>1</v>
      </c>
      <c r="O28" s="4" t="n">
        <f aca="false">IFERROR(INDEX(Weights!$B$5:$B$17,MATCH(F28,Weights!$A$5:$A$17,0)),0)</f>
        <v>2</v>
      </c>
      <c r="P28" s="4" t="n">
        <f aca="false">IFERROR(INDEX(Weights!$B$21:$B$23,MATCH(I28,Weights!$A$21:$A$23,0)),0)</f>
        <v>0.4</v>
      </c>
      <c r="Q28" s="4" t="n">
        <f aca="false">IF(L28&lt;&gt;"",IFERROR(INDEX(Weights!$B$33:$B$36,MATCH(L28,Weights!$A$33:$A$36,0)),0),IFERROR(INDEX(Weights!$B$27:$B$29,MATCH(K28,Weights!$A$27:$A$29,0)),0))</f>
        <v>0.5</v>
      </c>
      <c r="R28" s="20" t="n">
        <f aca="false">N28*O28*P28*Q28</f>
        <v>0.4</v>
      </c>
      <c r="S28" s="18"/>
    </row>
    <row r="29" customFormat="false" ht="26.85" hidden="false" customHeight="false" outlineLevel="0" collapsed="false">
      <c r="A29" s="18" t="s">
        <v>286</v>
      </c>
      <c r="B29" s="18" t="s">
        <v>270</v>
      </c>
      <c r="C29" s="18" t="s">
        <v>287</v>
      </c>
      <c r="D29" s="18" t="s">
        <v>284</v>
      </c>
      <c r="E29" s="18" t="s">
        <v>288</v>
      </c>
      <c r="F29" s="18" t="s">
        <v>36</v>
      </c>
      <c r="G29" s="18" t="s">
        <v>163</v>
      </c>
      <c r="H29" s="18" t="s">
        <v>36</v>
      </c>
      <c r="I29" s="18" t="s">
        <v>40</v>
      </c>
      <c r="J29" s="18" t="s">
        <v>186</v>
      </c>
      <c r="K29" s="18" t="s">
        <v>124</v>
      </c>
      <c r="L29" s="19"/>
      <c r="M29" s="18"/>
      <c r="N29" s="4" t="n">
        <f aca="false">IF(OR(M29&lt;&gt;"",F29="X",F29="O",F29="Q"),0,1)</f>
        <v>1</v>
      </c>
      <c r="O29" s="4" t="n">
        <f aca="false">IFERROR(INDEX(Weights!$B$5:$B$17,MATCH(F29,Weights!$A$5:$A$17,0)),0)</f>
        <v>1.5</v>
      </c>
      <c r="P29" s="4" t="n">
        <f aca="false">IFERROR(INDEX(Weights!$B$21:$B$23,MATCH(I29,Weights!$A$21:$A$23,0)),0)</f>
        <v>0.4</v>
      </c>
      <c r="Q29" s="4" t="n">
        <f aca="false">IF(L29&lt;&gt;"",IFERROR(INDEX(Weights!$B$33:$B$36,MATCH(L29,Weights!$A$33:$A$36,0)),0),IFERROR(INDEX(Weights!$B$27:$B$29,MATCH(K29,Weights!$A$27:$A$29,0)),0))</f>
        <v>0.5</v>
      </c>
      <c r="R29" s="20" t="n">
        <f aca="false">N29*O29*P29*Q29</f>
        <v>0.3</v>
      </c>
      <c r="S29" s="18" t="s">
        <v>289</v>
      </c>
    </row>
    <row r="30" customFormat="false" ht="26.85" hidden="false" customHeight="false" outlineLevel="0" collapsed="false">
      <c r="A30" s="18" t="s">
        <v>290</v>
      </c>
      <c r="B30" s="18" t="s">
        <v>270</v>
      </c>
      <c r="C30" s="18" t="s">
        <v>291</v>
      </c>
      <c r="D30" s="18" t="s">
        <v>292</v>
      </c>
      <c r="E30" s="18" t="s">
        <v>293</v>
      </c>
      <c r="F30" s="18" t="s">
        <v>28</v>
      </c>
      <c r="G30" s="18" t="s">
        <v>178</v>
      </c>
      <c r="H30" s="18" t="s">
        <v>36</v>
      </c>
      <c r="I30" s="18" t="s">
        <v>52</v>
      </c>
      <c r="J30" s="18" t="s">
        <v>294</v>
      </c>
      <c r="K30" s="18" t="s">
        <v>124</v>
      </c>
      <c r="L30" s="19"/>
      <c r="M30" s="18"/>
      <c r="N30" s="4" t="n">
        <f aca="false">IF(OR(M30&lt;&gt;"",F30="X",F30="O",F30="Q"),0,1)</f>
        <v>1</v>
      </c>
      <c r="O30" s="4" t="n">
        <f aca="false">IFERROR(INDEX(Weights!$B$5:$B$17,MATCH(F30,Weights!$A$5:$A$17,0)),0)</f>
        <v>2</v>
      </c>
      <c r="P30" s="4" t="n">
        <f aca="false">IFERROR(INDEX(Weights!$B$21:$B$23,MATCH(I30,Weights!$A$21:$A$23,0)),0)</f>
        <v>0.7</v>
      </c>
      <c r="Q30" s="4" t="n">
        <f aca="false">IF(L30&lt;&gt;"",IFERROR(INDEX(Weights!$B$33:$B$36,MATCH(L30,Weights!$A$33:$A$36,0)),0),IFERROR(INDEX(Weights!$B$27:$B$29,MATCH(K30,Weights!$A$27:$A$29,0)),0))</f>
        <v>0.5</v>
      </c>
      <c r="R30" s="20" t="n">
        <f aca="false">N30*O30*P30*Q30</f>
        <v>0.7</v>
      </c>
      <c r="S30" s="18" t="s">
        <v>295</v>
      </c>
    </row>
    <row r="31" customFormat="false" ht="26.85" hidden="false" customHeight="false" outlineLevel="0" collapsed="false">
      <c r="A31" s="18" t="s">
        <v>296</v>
      </c>
      <c r="B31" s="18" t="s">
        <v>270</v>
      </c>
      <c r="C31" s="18" t="s">
        <v>279</v>
      </c>
      <c r="D31" s="18" t="s">
        <v>297</v>
      </c>
      <c r="E31" s="18" t="s">
        <v>298</v>
      </c>
      <c r="F31" s="18" t="s">
        <v>34</v>
      </c>
      <c r="G31" s="18" t="s">
        <v>163</v>
      </c>
      <c r="H31" s="18" t="s">
        <v>36</v>
      </c>
      <c r="I31" s="18" t="s">
        <v>40</v>
      </c>
      <c r="J31" s="18" t="s">
        <v>186</v>
      </c>
      <c r="K31" s="18" t="s">
        <v>124</v>
      </c>
      <c r="L31" s="19"/>
      <c r="M31" s="18"/>
      <c r="N31" s="4" t="n">
        <f aca="false">IF(OR(M31&lt;&gt;"",F31="X",F31="O",F31="Q"),0,1)</f>
        <v>1</v>
      </c>
      <c r="O31" s="4" t="n">
        <f aca="false">IFERROR(INDEX(Weights!$B$5:$B$17,MATCH(F31,Weights!$A$5:$A$17,0)),0)</f>
        <v>2</v>
      </c>
      <c r="P31" s="4" t="n">
        <f aca="false">IFERROR(INDEX(Weights!$B$21:$B$23,MATCH(I31,Weights!$A$21:$A$23,0)),0)</f>
        <v>0.4</v>
      </c>
      <c r="Q31" s="4" t="n">
        <f aca="false">IF(L31&lt;&gt;"",IFERROR(INDEX(Weights!$B$33:$B$36,MATCH(L31,Weights!$A$33:$A$36,0)),0),IFERROR(INDEX(Weights!$B$27:$B$29,MATCH(K31,Weights!$A$27:$A$29,0)),0))</f>
        <v>0.5</v>
      </c>
      <c r="R31" s="20" t="n">
        <f aca="false">N31*O31*P31*Q31</f>
        <v>0.4</v>
      </c>
      <c r="S31" s="18"/>
    </row>
    <row r="32" customFormat="false" ht="26.85" hidden="false" customHeight="false" outlineLevel="0" collapsed="false">
      <c r="A32" s="18" t="s">
        <v>299</v>
      </c>
      <c r="B32" s="18" t="s">
        <v>270</v>
      </c>
      <c r="C32" s="18" t="s">
        <v>300</v>
      </c>
      <c r="D32" s="18" t="s">
        <v>301</v>
      </c>
      <c r="E32" s="18" t="s">
        <v>302</v>
      </c>
      <c r="F32" s="18" t="s">
        <v>42</v>
      </c>
      <c r="G32" s="18" t="s">
        <v>273</v>
      </c>
      <c r="H32" s="18" t="s">
        <v>36</v>
      </c>
      <c r="I32" s="18" t="s">
        <v>52</v>
      </c>
      <c r="J32" s="18" t="s">
        <v>303</v>
      </c>
      <c r="K32" s="18" t="s">
        <v>124</v>
      </c>
      <c r="L32" s="19"/>
      <c r="M32" s="18"/>
      <c r="N32" s="4" t="n">
        <f aca="false">IF(OR(M32&lt;&gt;"",F32="X",F32="O",F32="Q"),0,1)</f>
        <v>1</v>
      </c>
      <c r="O32" s="4" t="n">
        <f aca="false">IFERROR(INDEX(Weights!$B$5:$B$17,MATCH(F32,Weights!$A$5:$A$17,0)),0)</f>
        <v>0.25</v>
      </c>
      <c r="P32" s="4" t="n">
        <f aca="false">IFERROR(INDEX(Weights!$B$21:$B$23,MATCH(I32,Weights!$A$21:$A$23,0)),0)</f>
        <v>0.7</v>
      </c>
      <c r="Q32" s="4" t="n">
        <f aca="false">IF(L32&lt;&gt;"",IFERROR(INDEX(Weights!$B$33:$B$36,MATCH(L32,Weights!$A$33:$A$36,0)),0),IFERROR(INDEX(Weights!$B$27:$B$29,MATCH(K32,Weights!$A$27:$A$29,0)),0))</f>
        <v>0.5</v>
      </c>
      <c r="R32" s="20" t="n">
        <f aca="false">N32*O32*P32*Q32</f>
        <v>0.0875</v>
      </c>
      <c r="S32" s="18"/>
    </row>
    <row r="33" customFormat="false" ht="26.85" hidden="false" customHeight="false" outlineLevel="0" collapsed="false">
      <c r="A33" s="18" t="s">
        <v>304</v>
      </c>
      <c r="B33" s="18" t="s">
        <v>270</v>
      </c>
      <c r="C33" s="18" t="s">
        <v>305</v>
      </c>
      <c r="D33" s="18" t="s">
        <v>168</v>
      </c>
      <c r="E33" s="18" t="s">
        <v>306</v>
      </c>
      <c r="F33" s="18" t="s">
        <v>28</v>
      </c>
      <c r="G33" s="18" t="s">
        <v>178</v>
      </c>
      <c r="H33" s="18" t="s">
        <v>36</v>
      </c>
      <c r="I33" s="18" t="s">
        <v>52</v>
      </c>
      <c r="J33" s="18" t="s">
        <v>307</v>
      </c>
      <c r="K33" s="18" t="s">
        <v>124</v>
      </c>
      <c r="L33" s="19"/>
      <c r="M33" s="18"/>
      <c r="N33" s="4" t="n">
        <f aca="false">IF(OR(M33&lt;&gt;"",F33="X",F33="O",F33="Q"),0,1)</f>
        <v>1</v>
      </c>
      <c r="O33" s="4" t="n">
        <f aca="false">IFERROR(INDEX(Weights!$B$5:$B$17,MATCH(F33,Weights!$A$5:$A$17,0)),0)</f>
        <v>2</v>
      </c>
      <c r="P33" s="4" t="n">
        <f aca="false">IFERROR(INDEX(Weights!$B$21:$B$23,MATCH(I33,Weights!$A$21:$A$23,0)),0)</f>
        <v>0.7</v>
      </c>
      <c r="Q33" s="4" t="n">
        <f aca="false">IF(L33&lt;&gt;"",IFERROR(INDEX(Weights!$B$33:$B$36,MATCH(L33,Weights!$A$33:$A$36,0)),0),IFERROR(INDEX(Weights!$B$27:$B$29,MATCH(K33,Weights!$A$27:$A$29,0)),0))</f>
        <v>0.5</v>
      </c>
      <c r="R33" s="20" t="n">
        <f aca="false">N33*O33*P33*Q33</f>
        <v>0.7</v>
      </c>
      <c r="S33" s="18" t="s">
        <v>308</v>
      </c>
    </row>
    <row r="34" customFormat="false" ht="15" hidden="false" customHeight="false" outlineLevel="0" collapsed="false">
      <c r="A34" s="18" t="s">
        <v>309</v>
      </c>
      <c r="B34" s="18" t="s">
        <v>270</v>
      </c>
      <c r="C34" s="18" t="s">
        <v>310</v>
      </c>
      <c r="D34" s="18" t="s">
        <v>311</v>
      </c>
      <c r="E34" s="18" t="s">
        <v>312</v>
      </c>
      <c r="F34" s="18" t="s">
        <v>42</v>
      </c>
      <c r="G34" s="18" t="s">
        <v>273</v>
      </c>
      <c r="H34" s="18" t="s">
        <v>36</v>
      </c>
      <c r="I34" s="18" t="s">
        <v>52</v>
      </c>
      <c r="J34" s="18" t="s">
        <v>313</v>
      </c>
      <c r="K34" s="18" t="s">
        <v>124</v>
      </c>
      <c r="L34" s="19"/>
      <c r="M34" s="18"/>
      <c r="N34" s="4" t="n">
        <f aca="false">IF(OR(M34&lt;&gt;"",F34="X",F34="O",F34="Q"),0,1)</f>
        <v>1</v>
      </c>
      <c r="O34" s="4" t="n">
        <f aca="false">IFERROR(INDEX(Weights!$B$5:$B$17,MATCH(F34,Weights!$A$5:$A$17,0)),0)</f>
        <v>0.25</v>
      </c>
      <c r="P34" s="4" t="n">
        <f aca="false">IFERROR(INDEX(Weights!$B$21:$B$23,MATCH(I34,Weights!$A$21:$A$23,0)),0)</f>
        <v>0.7</v>
      </c>
      <c r="Q34" s="4" t="n">
        <f aca="false">IF(L34&lt;&gt;"",IFERROR(INDEX(Weights!$B$33:$B$36,MATCH(L34,Weights!$A$33:$A$36,0)),0),IFERROR(INDEX(Weights!$B$27:$B$29,MATCH(K34,Weights!$A$27:$A$29,0)),0))</f>
        <v>0.5</v>
      </c>
      <c r="R34" s="20" t="n">
        <f aca="false">N34*O34*P34*Q34</f>
        <v>0.0875</v>
      </c>
      <c r="S34" s="18" t="s">
        <v>314</v>
      </c>
    </row>
    <row r="35" customFormat="false" ht="26.85" hidden="false" customHeight="false" outlineLevel="0" collapsed="false">
      <c r="A35" s="18" t="s">
        <v>315</v>
      </c>
      <c r="B35" s="18" t="s">
        <v>270</v>
      </c>
      <c r="C35" s="18" t="s">
        <v>316</v>
      </c>
      <c r="D35" s="18" t="s">
        <v>317</v>
      </c>
      <c r="E35" s="18" t="s">
        <v>318</v>
      </c>
      <c r="F35" s="18" t="s">
        <v>42</v>
      </c>
      <c r="G35" s="18" t="s">
        <v>163</v>
      </c>
      <c r="H35" s="18" t="s">
        <v>36</v>
      </c>
      <c r="I35" s="18" t="s">
        <v>52</v>
      </c>
      <c r="J35" s="18" t="s">
        <v>319</v>
      </c>
      <c r="K35" s="18" t="s">
        <v>124</v>
      </c>
      <c r="L35" s="19"/>
      <c r="M35" s="18"/>
      <c r="N35" s="4" t="n">
        <f aca="false">IF(OR(M35&lt;&gt;"",F35="X",F35="O",F35="Q"),0,1)</f>
        <v>1</v>
      </c>
      <c r="O35" s="4" t="n">
        <f aca="false">IFERROR(INDEX(Weights!$B$5:$B$17,MATCH(F35,Weights!$A$5:$A$17,0)),0)</f>
        <v>0.25</v>
      </c>
      <c r="P35" s="4" t="n">
        <f aca="false">IFERROR(INDEX(Weights!$B$21:$B$23,MATCH(I35,Weights!$A$21:$A$23,0)),0)</f>
        <v>0.7</v>
      </c>
      <c r="Q35" s="4" t="n">
        <f aca="false">IF(L35&lt;&gt;"",IFERROR(INDEX(Weights!$B$33:$B$36,MATCH(L35,Weights!$A$33:$A$36,0)),0),IFERROR(INDEX(Weights!$B$27:$B$29,MATCH(K35,Weights!$A$27:$A$29,0)),0))</f>
        <v>0.5</v>
      </c>
      <c r="R35" s="20" t="n">
        <f aca="false">N35*O35*P35*Q35</f>
        <v>0.0875</v>
      </c>
      <c r="S35" s="18"/>
    </row>
    <row r="36" customFormat="false" ht="26.85" hidden="false" customHeight="false" outlineLevel="0" collapsed="false">
      <c r="A36" s="18" t="s">
        <v>320</v>
      </c>
      <c r="B36" s="18" t="s">
        <v>270</v>
      </c>
      <c r="C36" s="18" t="s">
        <v>321</v>
      </c>
      <c r="D36" s="18" t="s">
        <v>322</v>
      </c>
      <c r="E36" s="18" t="s">
        <v>323</v>
      </c>
      <c r="F36" s="18" t="s">
        <v>26</v>
      </c>
      <c r="G36" s="18" t="s">
        <v>170</v>
      </c>
      <c r="H36" s="18" t="s">
        <v>36</v>
      </c>
      <c r="I36" s="18" t="s">
        <v>51</v>
      </c>
      <c r="J36" s="18" t="s">
        <v>324</v>
      </c>
      <c r="K36" s="18" t="s">
        <v>124</v>
      </c>
      <c r="L36" s="19"/>
      <c r="M36" s="18" t="s">
        <v>172</v>
      </c>
      <c r="N36" s="4" t="n">
        <f aca="false">IF(OR(M36&lt;&gt;"",F36="X",F36="O",F36="Q"),0,1)</f>
        <v>0</v>
      </c>
      <c r="O36" s="4" t="n">
        <f aca="false">IFERROR(INDEX(Weights!$B$5:$B$17,MATCH(F36,Weights!$A$5:$A$17,0)),0)</f>
        <v>1</v>
      </c>
      <c r="P36" s="4" t="n">
        <f aca="false">IFERROR(INDEX(Weights!$B$21:$B$23,MATCH(I36,Weights!$A$21:$A$23,0)),0)</f>
        <v>1</v>
      </c>
      <c r="Q36" s="4" t="n">
        <f aca="false">IF(L36&lt;&gt;"",IFERROR(INDEX(Weights!$B$33:$B$36,MATCH(L36,Weights!$A$33:$A$36,0)),0),IFERROR(INDEX(Weights!$B$27:$B$29,MATCH(K36,Weights!$A$27:$A$29,0)),0))</f>
        <v>0.5</v>
      </c>
      <c r="R36" s="20" t="n">
        <f aca="false">N36*O36*P36*Q36</f>
        <v>0</v>
      </c>
      <c r="S36" s="18" t="s">
        <v>325</v>
      </c>
    </row>
    <row r="37" customFormat="false" ht="26.85" hidden="false" customHeight="false" outlineLevel="0" collapsed="false">
      <c r="A37" s="18" t="s">
        <v>326</v>
      </c>
      <c r="B37" s="18" t="s">
        <v>270</v>
      </c>
      <c r="C37" s="18" t="s">
        <v>327</v>
      </c>
      <c r="D37" s="18" t="s">
        <v>301</v>
      </c>
      <c r="E37" s="18" t="s">
        <v>328</v>
      </c>
      <c r="F37" s="18" t="s">
        <v>32</v>
      </c>
      <c r="G37" s="18" t="s">
        <v>273</v>
      </c>
      <c r="H37" s="18" t="s">
        <v>36</v>
      </c>
      <c r="I37" s="18" t="s">
        <v>40</v>
      </c>
      <c r="J37" s="18" t="s">
        <v>186</v>
      </c>
      <c r="K37" s="18" t="s">
        <v>126</v>
      </c>
      <c r="L37" s="19"/>
      <c r="M37" s="18"/>
      <c r="N37" s="4" t="n">
        <f aca="false">IF(OR(M37&lt;&gt;"",F37="X",F37="O",F37="Q"),0,1)</f>
        <v>1</v>
      </c>
      <c r="O37" s="4" t="n">
        <f aca="false">IFERROR(INDEX(Weights!$B$5:$B$17,MATCH(F37,Weights!$A$5:$A$17,0)),0)</f>
        <v>2</v>
      </c>
      <c r="P37" s="4" t="n">
        <f aca="false">IFERROR(INDEX(Weights!$B$21:$B$23,MATCH(I37,Weights!$A$21:$A$23,0)),0)</f>
        <v>0.4</v>
      </c>
      <c r="Q37" s="4" t="n">
        <f aca="false">IF(L37&lt;&gt;"",IFERROR(INDEX(Weights!$B$33:$B$36,MATCH(L37,Weights!$A$33:$A$36,0)),0),IFERROR(INDEX(Weights!$B$27:$B$29,MATCH(K37,Weights!$A$27:$A$29,0)),0))</f>
        <v>0.25</v>
      </c>
      <c r="R37" s="20" t="n">
        <f aca="false">N37*O37*P37*Q37</f>
        <v>0.2</v>
      </c>
      <c r="S37" s="18" t="s">
        <v>329</v>
      </c>
    </row>
    <row r="38" customFormat="false" ht="26.85" hidden="false" customHeight="false" outlineLevel="0" collapsed="false">
      <c r="A38" s="18" t="s">
        <v>330</v>
      </c>
      <c r="B38" s="18" t="s">
        <v>270</v>
      </c>
      <c r="C38" s="18" t="s">
        <v>331</v>
      </c>
      <c r="D38" s="18" t="s">
        <v>332</v>
      </c>
      <c r="E38" s="18" t="s">
        <v>333</v>
      </c>
      <c r="F38" s="18" t="s">
        <v>34</v>
      </c>
      <c r="G38" s="18" t="s">
        <v>163</v>
      </c>
      <c r="H38" s="18" t="s">
        <v>36</v>
      </c>
      <c r="I38" s="18" t="s">
        <v>40</v>
      </c>
      <c r="J38" s="18" t="s">
        <v>186</v>
      </c>
      <c r="K38" s="18" t="s">
        <v>124</v>
      </c>
      <c r="L38" s="19"/>
      <c r="M38" s="18"/>
      <c r="N38" s="4" t="n">
        <f aca="false">IF(OR(M38&lt;&gt;"",F38="X",F38="O",F38="Q"),0,1)</f>
        <v>1</v>
      </c>
      <c r="O38" s="4" t="n">
        <f aca="false">IFERROR(INDEX(Weights!$B$5:$B$17,MATCH(F38,Weights!$A$5:$A$17,0)),0)</f>
        <v>2</v>
      </c>
      <c r="P38" s="4" t="n">
        <f aca="false">IFERROR(INDEX(Weights!$B$21:$B$23,MATCH(I38,Weights!$A$21:$A$23,0)),0)</f>
        <v>0.4</v>
      </c>
      <c r="Q38" s="4" t="n">
        <f aca="false">IF(L38&lt;&gt;"",IFERROR(INDEX(Weights!$B$33:$B$36,MATCH(L38,Weights!$A$33:$A$36,0)),0),IFERROR(INDEX(Weights!$B$27:$B$29,MATCH(K38,Weights!$A$27:$A$29,0)),0))</f>
        <v>0.5</v>
      </c>
      <c r="R38" s="20" t="n">
        <f aca="false">N38*O38*P38*Q38</f>
        <v>0.4</v>
      </c>
      <c r="S38" s="18"/>
    </row>
    <row r="39" customFormat="false" ht="26.85" hidden="false" customHeight="false" outlineLevel="0" collapsed="false">
      <c r="A39" s="18" t="s">
        <v>334</v>
      </c>
      <c r="B39" s="18" t="s">
        <v>270</v>
      </c>
      <c r="C39" s="18" t="s">
        <v>219</v>
      </c>
      <c r="D39" s="18" t="s">
        <v>225</v>
      </c>
      <c r="E39" s="18" t="s">
        <v>335</v>
      </c>
      <c r="F39" s="18" t="s">
        <v>110</v>
      </c>
      <c r="G39" s="18" t="s">
        <v>185</v>
      </c>
      <c r="H39" s="18" t="s">
        <v>222</v>
      </c>
      <c r="I39" s="18" t="s">
        <v>40</v>
      </c>
      <c r="J39" s="18" t="s">
        <v>186</v>
      </c>
      <c r="K39" s="18" t="s">
        <v>128</v>
      </c>
      <c r="L39" s="19"/>
      <c r="M39" s="18"/>
      <c r="N39" s="4" t="n">
        <f aca="false">IF(OR(M39&lt;&gt;"",F39="X",F39="O",F39="Q"),0,1)</f>
        <v>0</v>
      </c>
      <c r="O39" s="4" t="n">
        <f aca="false">IFERROR(INDEX(Weights!$B$5:$B$17,MATCH(F39,Weights!$A$5:$A$17,0)),0)</f>
        <v>0</v>
      </c>
      <c r="P39" s="4" t="n">
        <f aca="false">IFERROR(INDEX(Weights!$B$21:$B$23,MATCH(I39,Weights!$A$21:$A$23,0)),0)</f>
        <v>0.4</v>
      </c>
      <c r="Q39" s="4" t="n">
        <f aca="false">IF(L39&lt;&gt;"",IFERROR(INDEX(Weights!$B$33:$B$36,MATCH(L39,Weights!$A$33:$A$36,0)),0),IFERROR(INDEX(Weights!$B$27:$B$29,MATCH(K39,Weights!$A$27:$A$29,0)),0))</f>
        <v>0.1</v>
      </c>
      <c r="R39" s="20" t="n">
        <f aca="false">N39*O39*P39*Q39</f>
        <v>0</v>
      </c>
      <c r="S39" s="18" t="s">
        <v>234</v>
      </c>
    </row>
    <row r="40" customFormat="false" ht="26.85" hidden="false" customHeight="false" outlineLevel="0" collapsed="false">
      <c r="A40" s="18" t="s">
        <v>336</v>
      </c>
      <c r="B40" s="18" t="s">
        <v>270</v>
      </c>
      <c r="C40" s="18" t="s">
        <v>219</v>
      </c>
      <c r="D40" s="18" t="s">
        <v>225</v>
      </c>
      <c r="E40" s="18" t="s">
        <v>335</v>
      </c>
      <c r="F40" s="18" t="s">
        <v>110</v>
      </c>
      <c r="G40" s="18" t="s">
        <v>185</v>
      </c>
      <c r="H40" s="18" t="s">
        <v>222</v>
      </c>
      <c r="I40" s="18" t="s">
        <v>40</v>
      </c>
      <c r="J40" s="18" t="s">
        <v>186</v>
      </c>
      <c r="K40" s="18" t="s">
        <v>128</v>
      </c>
      <c r="L40" s="19"/>
      <c r="M40" s="18"/>
      <c r="N40" s="4" t="n">
        <f aca="false">IF(OR(M40&lt;&gt;"",F40="X",F40="O",F40="Q"),0,1)</f>
        <v>0</v>
      </c>
      <c r="O40" s="4" t="n">
        <f aca="false">IFERROR(INDEX(Weights!$B$5:$B$17,MATCH(F40,Weights!$A$5:$A$17,0)),0)</f>
        <v>0</v>
      </c>
      <c r="P40" s="4" t="n">
        <f aca="false">IFERROR(INDEX(Weights!$B$21:$B$23,MATCH(I40,Weights!$A$21:$A$23,0)),0)</f>
        <v>0.4</v>
      </c>
      <c r="Q40" s="4" t="n">
        <f aca="false">IF(L40&lt;&gt;"",IFERROR(INDEX(Weights!$B$33:$B$36,MATCH(L40,Weights!$A$33:$A$36,0)),0),IFERROR(INDEX(Weights!$B$27:$B$29,MATCH(K40,Weights!$A$27:$A$29,0)),0))</f>
        <v>0.1</v>
      </c>
      <c r="R40" s="20" t="n">
        <f aca="false">N40*O40*P40*Q40</f>
        <v>0</v>
      </c>
      <c r="S40" s="18" t="s">
        <v>234</v>
      </c>
    </row>
    <row r="41" customFormat="false" ht="26.85" hidden="false" customHeight="false" outlineLevel="0" collapsed="false">
      <c r="A41" s="18" t="s">
        <v>337</v>
      </c>
      <c r="B41" s="18" t="s">
        <v>270</v>
      </c>
      <c r="C41" s="18" t="s">
        <v>219</v>
      </c>
      <c r="D41" s="18" t="s">
        <v>225</v>
      </c>
      <c r="E41" s="18" t="s">
        <v>335</v>
      </c>
      <c r="F41" s="18" t="s">
        <v>110</v>
      </c>
      <c r="G41" s="18" t="s">
        <v>185</v>
      </c>
      <c r="H41" s="18" t="s">
        <v>222</v>
      </c>
      <c r="I41" s="18" t="s">
        <v>51</v>
      </c>
      <c r="J41" s="18" t="s">
        <v>338</v>
      </c>
      <c r="K41" s="18" t="s">
        <v>128</v>
      </c>
      <c r="L41" s="19"/>
      <c r="M41" s="18"/>
      <c r="N41" s="4" t="n">
        <f aca="false">IF(OR(M41&lt;&gt;"",F41="X",F41="O",F41="Q"),0,1)</f>
        <v>0</v>
      </c>
      <c r="O41" s="4" t="n">
        <f aca="false">IFERROR(INDEX(Weights!$B$5:$B$17,MATCH(F41,Weights!$A$5:$A$17,0)),0)</f>
        <v>0</v>
      </c>
      <c r="P41" s="4" t="n">
        <f aca="false">IFERROR(INDEX(Weights!$B$21:$B$23,MATCH(I41,Weights!$A$21:$A$23,0)),0)</f>
        <v>1</v>
      </c>
      <c r="Q41" s="4" t="n">
        <f aca="false">IF(L41&lt;&gt;"",IFERROR(INDEX(Weights!$B$33:$B$36,MATCH(L41,Weights!$A$33:$A$36,0)),0),IFERROR(INDEX(Weights!$B$27:$B$29,MATCH(K41,Weights!$A$27:$A$29,0)),0))</f>
        <v>0.1</v>
      </c>
      <c r="R41" s="20" t="n">
        <f aca="false">N41*O41*P41*Q41</f>
        <v>0</v>
      </c>
      <c r="S41" s="18" t="s">
        <v>234</v>
      </c>
    </row>
    <row r="42" customFormat="false" ht="26.85" hidden="false" customHeight="false" outlineLevel="0" collapsed="false">
      <c r="A42" s="18" t="s">
        <v>339</v>
      </c>
      <c r="B42" s="18" t="s">
        <v>270</v>
      </c>
      <c r="C42" s="18" t="s">
        <v>214</v>
      </c>
      <c r="D42" s="18" t="s">
        <v>340</v>
      </c>
      <c r="E42" s="18" t="s">
        <v>341</v>
      </c>
      <c r="F42" s="18" t="s">
        <v>44</v>
      </c>
      <c r="G42" s="18" t="s">
        <v>185</v>
      </c>
      <c r="H42" s="18" t="s">
        <v>36</v>
      </c>
      <c r="I42" s="18" t="s">
        <v>40</v>
      </c>
      <c r="J42" s="18" t="s">
        <v>186</v>
      </c>
      <c r="K42" s="18" t="s">
        <v>126</v>
      </c>
      <c r="L42" s="19"/>
      <c r="M42" s="18"/>
      <c r="N42" s="4" t="n">
        <f aca="false">IF(OR(M42&lt;&gt;"",F42="X",F42="O",F42="Q"),0,1)</f>
        <v>1</v>
      </c>
      <c r="O42" s="4" t="n">
        <f aca="false">IFERROR(INDEX(Weights!$B$5:$B$17,MATCH(F42,Weights!$A$5:$A$17,0)),0)</f>
        <v>0.5</v>
      </c>
      <c r="P42" s="4" t="n">
        <f aca="false">IFERROR(INDEX(Weights!$B$21:$B$23,MATCH(I42,Weights!$A$21:$A$23,0)),0)</f>
        <v>0.4</v>
      </c>
      <c r="Q42" s="4" t="n">
        <f aca="false">IF(L42&lt;&gt;"",IFERROR(INDEX(Weights!$B$33:$B$36,MATCH(L42,Weights!$A$33:$A$36,0)),0),IFERROR(INDEX(Weights!$B$27:$B$29,MATCH(K42,Weights!$A$27:$A$29,0)),0))</f>
        <v>0.25</v>
      </c>
      <c r="R42" s="20" t="n">
        <f aca="false">N42*O42*P42*Q42</f>
        <v>0.05</v>
      </c>
      <c r="S42" s="18" t="s">
        <v>342</v>
      </c>
    </row>
    <row r="43" customFormat="false" ht="26.85" hidden="false" customHeight="false" outlineLevel="0" collapsed="false">
      <c r="A43" s="18" t="s">
        <v>343</v>
      </c>
      <c r="B43" s="18" t="s">
        <v>270</v>
      </c>
      <c r="C43" s="18" t="s">
        <v>279</v>
      </c>
      <c r="D43" s="18" t="s">
        <v>70</v>
      </c>
      <c r="E43" s="18" t="s">
        <v>344</v>
      </c>
      <c r="F43" s="18" t="s">
        <v>34</v>
      </c>
      <c r="G43" s="18" t="s">
        <v>163</v>
      </c>
      <c r="H43" s="18" t="s">
        <v>36</v>
      </c>
      <c r="I43" s="18" t="s">
        <v>40</v>
      </c>
      <c r="J43" s="18" t="s">
        <v>186</v>
      </c>
      <c r="K43" s="18" t="s">
        <v>124</v>
      </c>
      <c r="L43" s="19"/>
      <c r="M43" s="18"/>
      <c r="N43" s="4" t="n">
        <f aca="false">IF(OR(M43&lt;&gt;"",F43="X",F43="O",F43="Q"),0,1)</f>
        <v>1</v>
      </c>
      <c r="O43" s="4" t="n">
        <f aca="false">IFERROR(INDEX(Weights!$B$5:$B$17,MATCH(F43,Weights!$A$5:$A$17,0)),0)</f>
        <v>2</v>
      </c>
      <c r="P43" s="4" t="n">
        <f aca="false">IFERROR(INDEX(Weights!$B$21:$B$23,MATCH(I43,Weights!$A$21:$A$23,0)),0)</f>
        <v>0.4</v>
      </c>
      <c r="Q43" s="4" t="n">
        <f aca="false">IF(L43&lt;&gt;"",IFERROR(INDEX(Weights!$B$33:$B$36,MATCH(L43,Weights!$A$33:$A$36,0)),0),IFERROR(INDEX(Weights!$B$27:$B$29,MATCH(K43,Weights!$A$27:$A$29,0)),0))</f>
        <v>0.5</v>
      </c>
      <c r="R43" s="20" t="n">
        <f aca="false">N43*O43*P43*Q43</f>
        <v>0.4</v>
      </c>
      <c r="S43" s="18"/>
    </row>
    <row r="44" customFormat="false" ht="26.85" hidden="false" customHeight="false" outlineLevel="0" collapsed="false">
      <c r="A44" s="18" t="s">
        <v>345</v>
      </c>
      <c r="B44" s="18" t="s">
        <v>270</v>
      </c>
      <c r="C44" s="18" t="s">
        <v>346</v>
      </c>
      <c r="D44" s="18" t="s">
        <v>347</v>
      </c>
      <c r="E44" s="18" t="s">
        <v>348</v>
      </c>
      <c r="F44" s="18" t="s">
        <v>113</v>
      </c>
      <c r="G44" s="18" t="s">
        <v>163</v>
      </c>
      <c r="H44" s="18" t="s">
        <v>36</v>
      </c>
      <c r="I44" s="18" t="s">
        <v>51</v>
      </c>
      <c r="J44" s="18" t="s">
        <v>349</v>
      </c>
      <c r="K44" s="18" t="s">
        <v>124</v>
      </c>
      <c r="L44" s="19"/>
      <c r="M44" s="18"/>
      <c r="N44" s="4" t="n">
        <f aca="false">IF(OR(M44&lt;&gt;"",F44="X",F44="O",F44="Q"),0,1)</f>
        <v>0</v>
      </c>
      <c r="O44" s="4" t="n">
        <f aca="false">IFERROR(INDEX(Weights!$B$5:$B$17,MATCH(F44,Weights!$A$5:$A$17,0)),0)</f>
        <v>0</v>
      </c>
      <c r="P44" s="4" t="n">
        <f aca="false">IFERROR(INDEX(Weights!$B$21:$B$23,MATCH(I44,Weights!$A$21:$A$23,0)),0)</f>
        <v>1</v>
      </c>
      <c r="Q44" s="4" t="n">
        <f aca="false">IF(L44&lt;&gt;"",IFERROR(INDEX(Weights!$B$33:$B$36,MATCH(L44,Weights!$A$33:$A$36,0)),0),IFERROR(INDEX(Weights!$B$27:$B$29,MATCH(K44,Weights!$A$27:$A$29,0)),0))</f>
        <v>0.5</v>
      </c>
      <c r="R44" s="20" t="n">
        <f aca="false">N44*O44*P44*Q44</f>
        <v>0</v>
      </c>
      <c r="S44" s="18" t="s">
        <v>350</v>
      </c>
    </row>
    <row r="45" customFormat="false" ht="15" hidden="false" customHeight="false" outlineLevel="0" collapsed="false">
      <c r="A45" s="18" t="s">
        <v>351</v>
      </c>
      <c r="B45" s="18" t="s">
        <v>270</v>
      </c>
      <c r="C45" s="18" t="s">
        <v>352</v>
      </c>
      <c r="D45" s="18" t="s">
        <v>353</v>
      </c>
      <c r="E45" s="18" t="s">
        <v>354</v>
      </c>
      <c r="F45" s="18" t="s">
        <v>113</v>
      </c>
      <c r="G45" s="18" t="s">
        <v>178</v>
      </c>
      <c r="H45" s="18" t="s">
        <v>36</v>
      </c>
      <c r="I45" s="18" t="s">
        <v>40</v>
      </c>
      <c r="J45" s="18" t="s">
        <v>186</v>
      </c>
      <c r="K45" s="18" t="s">
        <v>124</v>
      </c>
      <c r="L45" s="19"/>
      <c r="M45" s="18"/>
      <c r="N45" s="4" t="n">
        <f aca="false">IF(OR(M45&lt;&gt;"",F45="X",F45="O",F45="Q"),0,1)</f>
        <v>0</v>
      </c>
      <c r="O45" s="4" t="n">
        <f aca="false">IFERROR(INDEX(Weights!$B$5:$B$17,MATCH(F45,Weights!$A$5:$A$17,0)),0)</f>
        <v>0</v>
      </c>
      <c r="P45" s="4" t="n">
        <f aca="false">IFERROR(INDEX(Weights!$B$21:$B$23,MATCH(I45,Weights!$A$21:$A$23,0)),0)</f>
        <v>0.4</v>
      </c>
      <c r="Q45" s="4" t="n">
        <f aca="false">IF(L45&lt;&gt;"",IFERROR(INDEX(Weights!$B$33:$B$36,MATCH(L45,Weights!$A$33:$A$36,0)),0),IFERROR(INDEX(Weights!$B$27:$B$29,MATCH(K45,Weights!$A$27:$A$29,0)),0))</f>
        <v>0.5</v>
      </c>
      <c r="R45" s="20" t="n">
        <f aca="false">N45*O45*P45*Q45</f>
        <v>0</v>
      </c>
      <c r="S45" s="18" t="s">
        <v>350</v>
      </c>
    </row>
    <row r="46" customFormat="false" ht="26.85" hidden="false" customHeight="false" outlineLevel="0" collapsed="false">
      <c r="A46" s="18" t="s">
        <v>355</v>
      </c>
      <c r="B46" s="18" t="s">
        <v>270</v>
      </c>
      <c r="C46" s="18" t="s">
        <v>356</v>
      </c>
      <c r="D46" s="18" t="s">
        <v>357</v>
      </c>
      <c r="E46" s="18" t="s">
        <v>358</v>
      </c>
      <c r="F46" s="18" t="s">
        <v>28</v>
      </c>
      <c r="G46" s="18" t="s">
        <v>178</v>
      </c>
      <c r="H46" s="18" t="s">
        <v>36</v>
      </c>
      <c r="I46" s="18" t="s">
        <v>51</v>
      </c>
      <c r="J46" s="18" t="s">
        <v>359</v>
      </c>
      <c r="K46" s="18" t="s">
        <v>124</v>
      </c>
      <c r="L46" s="19"/>
      <c r="M46" s="18"/>
      <c r="N46" s="4" t="n">
        <f aca="false">IF(OR(M46&lt;&gt;"",F46="X",F46="O",F46="Q"),0,1)</f>
        <v>1</v>
      </c>
      <c r="O46" s="4" t="n">
        <f aca="false">IFERROR(INDEX(Weights!$B$5:$B$17,MATCH(F46,Weights!$A$5:$A$17,0)),0)</f>
        <v>2</v>
      </c>
      <c r="P46" s="4" t="n">
        <f aca="false">IFERROR(INDEX(Weights!$B$21:$B$23,MATCH(I46,Weights!$A$21:$A$23,0)),0)</f>
        <v>1</v>
      </c>
      <c r="Q46" s="4" t="n">
        <f aca="false">IF(L46&lt;&gt;"",IFERROR(INDEX(Weights!$B$33:$B$36,MATCH(L46,Weights!$A$33:$A$36,0)),0),IFERROR(INDEX(Weights!$B$27:$B$29,MATCH(K46,Weights!$A$27:$A$29,0)),0))</f>
        <v>0.5</v>
      </c>
      <c r="R46" s="20" t="n">
        <f aca="false">N46*O46*P46*Q46</f>
        <v>1</v>
      </c>
      <c r="S46" s="18"/>
    </row>
    <row r="47" customFormat="false" ht="26.85" hidden="false" customHeight="false" outlineLevel="0" collapsed="false">
      <c r="A47" s="18" t="s">
        <v>360</v>
      </c>
      <c r="B47" s="18" t="s">
        <v>270</v>
      </c>
      <c r="C47" s="18" t="s">
        <v>361</v>
      </c>
      <c r="D47" s="18" t="s">
        <v>353</v>
      </c>
      <c r="E47" s="18" t="s">
        <v>362</v>
      </c>
      <c r="F47" s="18" t="s">
        <v>28</v>
      </c>
      <c r="G47" s="18" t="s">
        <v>178</v>
      </c>
      <c r="H47" s="18" t="s">
        <v>36</v>
      </c>
      <c r="I47" s="18" t="s">
        <v>52</v>
      </c>
      <c r="J47" s="18" t="s">
        <v>363</v>
      </c>
      <c r="K47" s="18" t="s">
        <v>126</v>
      </c>
      <c r="L47" s="19"/>
      <c r="M47" s="18"/>
      <c r="N47" s="4" t="n">
        <f aca="false">IF(OR(M47&lt;&gt;"",F47="X",F47="O",F47="Q"),0,1)</f>
        <v>1</v>
      </c>
      <c r="O47" s="4" t="n">
        <f aca="false">IFERROR(INDEX(Weights!$B$5:$B$17,MATCH(F47,Weights!$A$5:$A$17,0)),0)</f>
        <v>2</v>
      </c>
      <c r="P47" s="4" t="n">
        <f aca="false">IFERROR(INDEX(Weights!$B$21:$B$23,MATCH(I47,Weights!$A$21:$A$23,0)),0)</f>
        <v>0.7</v>
      </c>
      <c r="Q47" s="4" t="n">
        <f aca="false">IF(L47&lt;&gt;"",IFERROR(INDEX(Weights!$B$33:$B$36,MATCH(L47,Weights!$A$33:$A$36,0)),0),IFERROR(INDEX(Weights!$B$27:$B$29,MATCH(K47,Weights!$A$27:$A$29,0)),0))</f>
        <v>0.25</v>
      </c>
      <c r="R47" s="20" t="n">
        <f aca="false">N47*O47*P47*Q47</f>
        <v>0.35</v>
      </c>
      <c r="S47" s="18"/>
    </row>
    <row r="48" customFormat="false" ht="26.85" hidden="false" customHeight="false" outlineLevel="0" collapsed="false">
      <c r="A48" s="18" t="s">
        <v>364</v>
      </c>
      <c r="B48" s="18" t="s">
        <v>270</v>
      </c>
      <c r="C48" s="18" t="s">
        <v>365</v>
      </c>
      <c r="D48" s="18" t="s">
        <v>366</v>
      </c>
      <c r="E48" s="18" t="s">
        <v>367</v>
      </c>
      <c r="F48" s="18" t="s">
        <v>42</v>
      </c>
      <c r="G48" s="18" t="s">
        <v>163</v>
      </c>
      <c r="H48" s="18" t="s">
        <v>36</v>
      </c>
      <c r="I48" s="18" t="s">
        <v>52</v>
      </c>
      <c r="J48" s="18" t="s">
        <v>368</v>
      </c>
      <c r="K48" s="18" t="s">
        <v>124</v>
      </c>
      <c r="L48" s="19"/>
      <c r="M48" s="18"/>
      <c r="N48" s="4" t="n">
        <f aca="false">IF(OR(M48&lt;&gt;"",F48="X",F48="O",F48="Q"),0,1)</f>
        <v>1</v>
      </c>
      <c r="O48" s="4" t="n">
        <f aca="false">IFERROR(INDEX(Weights!$B$5:$B$17,MATCH(F48,Weights!$A$5:$A$17,0)),0)</f>
        <v>0.25</v>
      </c>
      <c r="P48" s="4" t="n">
        <f aca="false">IFERROR(INDEX(Weights!$B$21:$B$23,MATCH(I48,Weights!$A$21:$A$23,0)),0)</f>
        <v>0.7</v>
      </c>
      <c r="Q48" s="4" t="n">
        <f aca="false">IF(L48&lt;&gt;"",IFERROR(INDEX(Weights!$B$33:$B$36,MATCH(L48,Weights!$A$33:$A$36,0)),0),IFERROR(INDEX(Weights!$B$27:$B$29,MATCH(K48,Weights!$A$27:$A$29,0)),0))</f>
        <v>0.5</v>
      </c>
      <c r="R48" s="20" t="n">
        <f aca="false">N48*O48*P48*Q48</f>
        <v>0.0875</v>
      </c>
      <c r="S48" s="18"/>
    </row>
    <row r="49" customFormat="false" ht="26.85" hidden="false" customHeight="false" outlineLevel="0" collapsed="false">
      <c r="A49" s="18" t="s">
        <v>369</v>
      </c>
      <c r="B49" s="18" t="s">
        <v>159</v>
      </c>
      <c r="C49" s="18" t="s">
        <v>370</v>
      </c>
      <c r="D49" s="18" t="s">
        <v>371</v>
      </c>
      <c r="E49" s="18" t="s">
        <v>372</v>
      </c>
      <c r="F49" s="18" t="s">
        <v>44</v>
      </c>
      <c r="G49" s="18" t="s">
        <v>185</v>
      </c>
      <c r="H49" s="18" t="s">
        <v>36</v>
      </c>
      <c r="I49" s="18" t="s">
        <v>40</v>
      </c>
      <c r="J49" s="18" t="s">
        <v>373</v>
      </c>
      <c r="K49" s="18" t="s">
        <v>128</v>
      </c>
      <c r="L49" s="19"/>
      <c r="M49" s="18"/>
      <c r="N49" s="4" t="n">
        <f aca="false">IF(OR(M49&lt;&gt;"",F49="X",F49="O",F49="Q"),0,1)</f>
        <v>1</v>
      </c>
      <c r="O49" s="4" t="n">
        <f aca="false">IFERROR(INDEX(Weights!$B$5:$B$17,MATCH(F49,Weights!$A$5:$A$17,0)),0)</f>
        <v>0.5</v>
      </c>
      <c r="P49" s="4" t="n">
        <f aca="false">IFERROR(INDEX(Weights!$B$21:$B$23,MATCH(I49,Weights!$A$21:$A$23,0)),0)</f>
        <v>0.4</v>
      </c>
      <c r="Q49" s="4" t="n">
        <f aca="false">IF(L49&lt;&gt;"",IFERROR(INDEX(Weights!$B$33:$B$36,MATCH(L49,Weights!$A$33:$A$36,0)),0),IFERROR(INDEX(Weights!$B$27:$B$29,MATCH(K49,Weights!$A$27:$A$29,0)),0))</f>
        <v>0.1</v>
      </c>
      <c r="R49" s="20" t="n">
        <f aca="false">N49*O49*P49*Q49</f>
        <v>0.02</v>
      </c>
      <c r="S49" s="18" t="s">
        <v>374</v>
      </c>
    </row>
    <row r="50" customFormat="false" ht="26.85" hidden="false" customHeight="false" outlineLevel="0" collapsed="false">
      <c r="A50" s="18" t="s">
        <v>375</v>
      </c>
      <c r="B50" s="18" t="s">
        <v>159</v>
      </c>
      <c r="C50" s="18" t="s">
        <v>376</v>
      </c>
      <c r="D50" s="18" t="s">
        <v>377</v>
      </c>
      <c r="E50" s="18" t="s">
        <v>378</v>
      </c>
      <c r="F50" s="18" t="s">
        <v>32</v>
      </c>
      <c r="G50" s="18" t="s">
        <v>170</v>
      </c>
      <c r="H50" s="18" t="s">
        <v>36</v>
      </c>
      <c r="I50" s="18" t="s">
        <v>51</v>
      </c>
      <c r="J50" s="18" t="s">
        <v>379</v>
      </c>
      <c r="K50" s="18" t="s">
        <v>124</v>
      </c>
      <c r="L50" s="19"/>
      <c r="M50" s="18"/>
      <c r="N50" s="4" t="n">
        <f aca="false">IF(OR(M50&lt;&gt;"",F50="X",F50="O",F50="Q"),0,1)</f>
        <v>1</v>
      </c>
      <c r="O50" s="4" t="n">
        <f aca="false">IFERROR(INDEX(Weights!$B$5:$B$17,MATCH(F50,Weights!$A$5:$A$17,0)),0)</f>
        <v>2</v>
      </c>
      <c r="P50" s="4" t="n">
        <f aca="false">IFERROR(INDEX(Weights!$B$21:$B$23,MATCH(I50,Weights!$A$21:$A$23,0)),0)</f>
        <v>1</v>
      </c>
      <c r="Q50" s="4" t="n">
        <f aca="false">IF(L50&lt;&gt;"",IFERROR(INDEX(Weights!$B$33:$B$36,MATCH(L50,Weights!$A$33:$A$36,0)),0),IFERROR(INDEX(Weights!$B$27:$B$29,MATCH(K50,Weights!$A$27:$A$29,0)),0))</f>
        <v>0.5</v>
      </c>
      <c r="R50" s="20" t="n">
        <f aca="false">N50*O50*P50*Q50</f>
        <v>1</v>
      </c>
      <c r="S50" s="18"/>
    </row>
    <row r="51" customFormat="false" ht="26.85" hidden="false" customHeight="false" outlineLevel="0" collapsed="false">
      <c r="A51" s="18" t="s">
        <v>380</v>
      </c>
      <c r="B51" s="18" t="s">
        <v>159</v>
      </c>
      <c r="C51" s="18" t="s">
        <v>356</v>
      </c>
      <c r="D51" s="18" t="s">
        <v>357</v>
      </c>
      <c r="E51" s="18" t="s">
        <v>381</v>
      </c>
      <c r="F51" s="18" t="s">
        <v>28</v>
      </c>
      <c r="G51" s="18" t="s">
        <v>178</v>
      </c>
      <c r="H51" s="18" t="s">
        <v>36</v>
      </c>
      <c r="I51" s="18" t="s">
        <v>51</v>
      </c>
      <c r="J51" s="18" t="s">
        <v>359</v>
      </c>
      <c r="K51" s="18" t="s">
        <v>124</v>
      </c>
      <c r="L51" s="19"/>
      <c r="M51" s="18"/>
      <c r="N51" s="4" t="n">
        <f aca="false">IF(OR(M51&lt;&gt;"",F51="X",F51="O",F51="Q"),0,1)</f>
        <v>1</v>
      </c>
      <c r="O51" s="4" t="n">
        <f aca="false">IFERROR(INDEX(Weights!$B$5:$B$17,MATCH(F51,Weights!$A$5:$A$17,0)),0)</f>
        <v>2</v>
      </c>
      <c r="P51" s="4" t="n">
        <f aca="false">IFERROR(INDEX(Weights!$B$21:$B$23,MATCH(I51,Weights!$A$21:$A$23,0)),0)</f>
        <v>1</v>
      </c>
      <c r="Q51" s="4" t="n">
        <f aca="false">IF(L51&lt;&gt;"",IFERROR(INDEX(Weights!$B$33:$B$36,MATCH(L51,Weights!$A$33:$A$36,0)),0),IFERROR(INDEX(Weights!$B$27:$B$29,MATCH(K51,Weights!$A$27:$A$29,0)),0))</f>
        <v>0.5</v>
      </c>
      <c r="R51" s="20" t="n">
        <f aca="false">N51*O51*P51*Q51</f>
        <v>1</v>
      </c>
      <c r="S51" s="18"/>
    </row>
    <row r="52" customFormat="false" ht="26.85" hidden="false" customHeight="false" outlineLevel="0" collapsed="false">
      <c r="A52" s="18" t="s">
        <v>382</v>
      </c>
      <c r="B52" s="18" t="s">
        <v>159</v>
      </c>
      <c r="C52" s="18" t="s">
        <v>383</v>
      </c>
      <c r="D52" s="18" t="s">
        <v>384</v>
      </c>
      <c r="E52" s="18" t="s">
        <v>385</v>
      </c>
      <c r="F52" s="18" t="s">
        <v>30</v>
      </c>
      <c r="G52" s="18" t="s">
        <v>273</v>
      </c>
      <c r="H52" s="18" t="s">
        <v>36</v>
      </c>
      <c r="I52" s="18" t="s">
        <v>52</v>
      </c>
      <c r="J52" s="18" t="s">
        <v>386</v>
      </c>
      <c r="K52" s="18" t="s">
        <v>124</v>
      </c>
      <c r="L52" s="19"/>
      <c r="M52" s="18"/>
      <c r="N52" s="4" t="n">
        <f aca="false">IF(OR(M52&lt;&gt;"",F52="X",F52="O",F52="Q"),0,1)</f>
        <v>1</v>
      </c>
      <c r="O52" s="4" t="n">
        <f aca="false">IFERROR(INDEX(Weights!$B$5:$B$17,MATCH(F52,Weights!$A$5:$A$17,0)),0)</f>
        <v>3</v>
      </c>
      <c r="P52" s="4" t="n">
        <f aca="false">IFERROR(INDEX(Weights!$B$21:$B$23,MATCH(I52,Weights!$A$21:$A$23,0)),0)</f>
        <v>0.7</v>
      </c>
      <c r="Q52" s="4" t="n">
        <f aca="false">IF(L52&lt;&gt;"",IFERROR(INDEX(Weights!$B$33:$B$36,MATCH(L52,Weights!$A$33:$A$36,0)),0),IFERROR(INDEX(Weights!$B$27:$B$29,MATCH(K52,Weights!$A$27:$A$29,0)),0))</f>
        <v>0.5</v>
      </c>
      <c r="R52" s="20" t="n">
        <f aca="false">N52*O52*P52*Q52</f>
        <v>1.05</v>
      </c>
      <c r="S52" s="18" t="s">
        <v>387</v>
      </c>
    </row>
    <row r="53" customFormat="false" ht="26.85" hidden="false" customHeight="false" outlineLevel="0" collapsed="false">
      <c r="A53" s="18" t="s">
        <v>388</v>
      </c>
      <c r="B53" s="18" t="s">
        <v>159</v>
      </c>
      <c r="C53" s="18" t="s">
        <v>389</v>
      </c>
      <c r="D53" s="18" t="s">
        <v>390</v>
      </c>
      <c r="E53" s="18" t="s">
        <v>391</v>
      </c>
      <c r="F53" s="18" t="s">
        <v>42</v>
      </c>
      <c r="G53" s="18" t="s">
        <v>163</v>
      </c>
      <c r="H53" s="18" t="s">
        <v>36</v>
      </c>
      <c r="I53" s="18" t="s">
        <v>40</v>
      </c>
      <c r="J53" s="18" t="s">
        <v>392</v>
      </c>
      <c r="K53" s="18" t="s">
        <v>126</v>
      </c>
      <c r="L53" s="19"/>
      <c r="M53" s="18"/>
      <c r="N53" s="4" t="n">
        <f aca="false">IF(OR(M53&lt;&gt;"",F53="X",F53="O",F53="Q"),0,1)</f>
        <v>1</v>
      </c>
      <c r="O53" s="4" t="n">
        <f aca="false">IFERROR(INDEX(Weights!$B$5:$B$17,MATCH(F53,Weights!$A$5:$A$17,0)),0)</f>
        <v>0.25</v>
      </c>
      <c r="P53" s="4" t="n">
        <f aca="false">IFERROR(INDEX(Weights!$B$21:$B$23,MATCH(I53,Weights!$A$21:$A$23,0)),0)</f>
        <v>0.4</v>
      </c>
      <c r="Q53" s="4" t="n">
        <f aca="false">IF(L53&lt;&gt;"",IFERROR(INDEX(Weights!$B$33:$B$36,MATCH(L53,Weights!$A$33:$A$36,0)),0),IFERROR(INDEX(Weights!$B$27:$B$29,MATCH(K53,Weights!$A$27:$A$29,0)),0))</f>
        <v>0.25</v>
      </c>
      <c r="R53" s="20" t="n">
        <f aca="false">N53*O53*P53*Q53</f>
        <v>0.025</v>
      </c>
      <c r="S53" s="18" t="s">
        <v>393</v>
      </c>
    </row>
    <row r="54" customFormat="false" ht="26.85" hidden="false" customHeight="false" outlineLevel="0" collapsed="false">
      <c r="A54" s="18" t="s">
        <v>394</v>
      </c>
      <c r="B54" s="18" t="s">
        <v>159</v>
      </c>
      <c r="C54" s="18" t="s">
        <v>383</v>
      </c>
      <c r="D54" s="18" t="s">
        <v>384</v>
      </c>
      <c r="E54" s="18" t="s">
        <v>395</v>
      </c>
      <c r="F54" s="18" t="s">
        <v>30</v>
      </c>
      <c r="G54" s="18" t="s">
        <v>273</v>
      </c>
      <c r="H54" s="18" t="s">
        <v>36</v>
      </c>
      <c r="I54" s="18" t="s">
        <v>52</v>
      </c>
      <c r="J54" s="18" t="s">
        <v>396</v>
      </c>
      <c r="K54" s="18" t="s">
        <v>124</v>
      </c>
      <c r="L54" s="19"/>
      <c r="M54" s="18"/>
      <c r="N54" s="4" t="n">
        <f aca="false">IF(OR(M54&lt;&gt;"",F54="X",F54="O",F54="Q"),0,1)</f>
        <v>1</v>
      </c>
      <c r="O54" s="4" t="n">
        <f aca="false">IFERROR(INDEX(Weights!$B$5:$B$17,MATCH(F54,Weights!$A$5:$A$17,0)),0)</f>
        <v>3</v>
      </c>
      <c r="P54" s="4" t="n">
        <f aca="false">IFERROR(INDEX(Weights!$B$21:$B$23,MATCH(I54,Weights!$A$21:$A$23,0)),0)</f>
        <v>0.7</v>
      </c>
      <c r="Q54" s="4" t="n">
        <f aca="false">IF(L54&lt;&gt;"",IFERROR(INDEX(Weights!$B$33:$B$36,MATCH(L54,Weights!$A$33:$A$36,0)),0),IFERROR(INDEX(Weights!$B$27:$B$29,MATCH(K54,Weights!$A$27:$A$29,0)),0))</f>
        <v>0.5</v>
      </c>
      <c r="R54" s="20" t="n">
        <f aca="false">N54*O54*P54*Q54</f>
        <v>1.05</v>
      </c>
      <c r="S54" s="18" t="s">
        <v>397</v>
      </c>
    </row>
    <row r="55" customFormat="false" ht="15" hidden="false" customHeight="false" outlineLevel="0" collapsed="false">
      <c r="A55" s="18" t="s">
        <v>398</v>
      </c>
      <c r="B55" s="18" t="s">
        <v>159</v>
      </c>
      <c r="C55" s="18" t="s">
        <v>383</v>
      </c>
      <c r="D55" s="18" t="s">
        <v>399</v>
      </c>
      <c r="E55" s="18" t="s">
        <v>400</v>
      </c>
      <c r="F55" s="18" t="s">
        <v>42</v>
      </c>
      <c r="G55" s="18" t="s">
        <v>273</v>
      </c>
      <c r="H55" s="18" t="s">
        <v>36</v>
      </c>
      <c r="I55" s="18" t="s">
        <v>52</v>
      </c>
      <c r="J55" s="18" t="s">
        <v>401</v>
      </c>
      <c r="K55" s="18" t="s">
        <v>124</v>
      </c>
      <c r="L55" s="19"/>
      <c r="M55" s="18"/>
      <c r="N55" s="4" t="n">
        <f aca="false">IF(OR(M55&lt;&gt;"",F55="X",F55="O",F55="Q"),0,1)</f>
        <v>1</v>
      </c>
      <c r="O55" s="4" t="n">
        <f aca="false">IFERROR(INDEX(Weights!$B$5:$B$17,MATCH(F55,Weights!$A$5:$A$17,0)),0)</f>
        <v>0.25</v>
      </c>
      <c r="P55" s="4" t="n">
        <f aca="false">IFERROR(INDEX(Weights!$B$21:$B$23,MATCH(I55,Weights!$A$21:$A$23,0)),0)</f>
        <v>0.7</v>
      </c>
      <c r="Q55" s="4" t="n">
        <f aca="false">IF(L55&lt;&gt;"",IFERROR(INDEX(Weights!$B$33:$B$36,MATCH(L55,Weights!$A$33:$A$36,0)),0),IFERROR(INDEX(Weights!$B$27:$B$29,MATCH(K55,Weights!$A$27:$A$29,0)),0))</f>
        <v>0.5</v>
      </c>
      <c r="R55" s="20" t="n">
        <f aca="false">N55*O55*P55*Q55</f>
        <v>0.0875</v>
      </c>
      <c r="S55" s="18"/>
    </row>
    <row r="56" customFormat="false" ht="26.85" hidden="false" customHeight="false" outlineLevel="0" collapsed="false">
      <c r="A56" s="18" t="s">
        <v>402</v>
      </c>
      <c r="B56" s="18" t="s">
        <v>159</v>
      </c>
      <c r="C56" s="18" t="s">
        <v>383</v>
      </c>
      <c r="D56" s="18" t="s">
        <v>399</v>
      </c>
      <c r="E56" s="18" t="s">
        <v>403</v>
      </c>
      <c r="F56" s="18" t="s">
        <v>42</v>
      </c>
      <c r="G56" s="18" t="s">
        <v>273</v>
      </c>
      <c r="H56" s="18" t="s">
        <v>36</v>
      </c>
      <c r="I56" s="18" t="s">
        <v>52</v>
      </c>
      <c r="J56" s="18" t="s">
        <v>401</v>
      </c>
      <c r="K56" s="18" t="s">
        <v>124</v>
      </c>
      <c r="L56" s="19"/>
      <c r="M56" s="18"/>
      <c r="N56" s="4" t="n">
        <f aca="false">IF(OR(M56&lt;&gt;"",F56="X",F56="O",F56="Q"),0,1)</f>
        <v>1</v>
      </c>
      <c r="O56" s="4" t="n">
        <f aca="false">IFERROR(INDEX(Weights!$B$5:$B$17,MATCH(F56,Weights!$A$5:$A$17,0)),0)</f>
        <v>0.25</v>
      </c>
      <c r="P56" s="4" t="n">
        <f aca="false">IFERROR(INDEX(Weights!$B$21:$B$23,MATCH(I56,Weights!$A$21:$A$23,0)),0)</f>
        <v>0.7</v>
      </c>
      <c r="Q56" s="4" t="n">
        <f aca="false">IF(L56&lt;&gt;"",IFERROR(INDEX(Weights!$B$33:$B$36,MATCH(L56,Weights!$A$33:$A$36,0)),0),IFERROR(INDEX(Weights!$B$27:$B$29,MATCH(K56,Weights!$A$27:$A$29,0)),0))</f>
        <v>0.5</v>
      </c>
      <c r="R56" s="20" t="n">
        <f aca="false">N56*O56*P56*Q56</f>
        <v>0.0875</v>
      </c>
      <c r="S56" s="18"/>
    </row>
    <row r="57" customFormat="false" ht="26.85" hidden="false" customHeight="false" outlineLevel="0" collapsed="false">
      <c r="A57" s="18" t="s">
        <v>404</v>
      </c>
      <c r="B57" s="18" t="s">
        <v>159</v>
      </c>
      <c r="C57" s="18" t="s">
        <v>352</v>
      </c>
      <c r="D57" s="18" t="s">
        <v>353</v>
      </c>
      <c r="E57" s="18" t="s">
        <v>405</v>
      </c>
      <c r="F57" s="18" t="s">
        <v>36</v>
      </c>
      <c r="G57" s="18" t="s">
        <v>178</v>
      </c>
      <c r="H57" s="18" t="s">
        <v>36</v>
      </c>
      <c r="I57" s="18" t="s">
        <v>40</v>
      </c>
      <c r="J57" s="18" t="s">
        <v>406</v>
      </c>
      <c r="K57" s="18" t="s">
        <v>124</v>
      </c>
      <c r="L57" s="19"/>
      <c r="M57" s="18"/>
      <c r="N57" s="4" t="n">
        <f aca="false">IF(OR(M57&lt;&gt;"",F57="X",F57="O",F57="Q"),0,1)</f>
        <v>1</v>
      </c>
      <c r="O57" s="4" t="n">
        <f aca="false">IFERROR(INDEX(Weights!$B$5:$B$17,MATCH(F57,Weights!$A$5:$A$17,0)),0)</f>
        <v>1.5</v>
      </c>
      <c r="P57" s="4" t="n">
        <f aca="false">IFERROR(INDEX(Weights!$B$21:$B$23,MATCH(I57,Weights!$A$21:$A$23,0)),0)</f>
        <v>0.4</v>
      </c>
      <c r="Q57" s="4" t="n">
        <f aca="false">IF(L57&lt;&gt;"",IFERROR(INDEX(Weights!$B$33:$B$36,MATCH(L57,Weights!$A$33:$A$36,0)),0),IFERROR(INDEX(Weights!$B$27:$B$29,MATCH(K57,Weights!$A$27:$A$29,0)),0))</f>
        <v>0.5</v>
      </c>
      <c r="R57" s="20" t="n">
        <f aca="false">N57*O57*P57*Q57</f>
        <v>0.3</v>
      </c>
      <c r="S57" s="18" t="s">
        <v>407</v>
      </c>
    </row>
    <row r="58" customFormat="false" ht="26.85" hidden="false" customHeight="false" outlineLevel="0" collapsed="false">
      <c r="A58" s="18" t="s">
        <v>408</v>
      </c>
      <c r="B58" s="18" t="s">
        <v>159</v>
      </c>
      <c r="C58" s="18" t="s">
        <v>409</v>
      </c>
      <c r="D58" s="18" t="s">
        <v>353</v>
      </c>
      <c r="E58" s="18" t="s">
        <v>410</v>
      </c>
      <c r="F58" s="18" t="s">
        <v>30</v>
      </c>
      <c r="G58" s="18" t="s">
        <v>411</v>
      </c>
      <c r="H58" s="18" t="s">
        <v>36</v>
      </c>
      <c r="I58" s="18" t="s">
        <v>52</v>
      </c>
      <c r="J58" s="18" t="s">
        <v>412</v>
      </c>
      <c r="K58" s="18" t="s">
        <v>126</v>
      </c>
      <c r="L58" s="19"/>
      <c r="M58" s="18"/>
      <c r="N58" s="4" t="n">
        <f aca="false">IF(OR(M58&lt;&gt;"",F58="X",F58="O",F58="Q"),0,1)</f>
        <v>1</v>
      </c>
      <c r="O58" s="4" t="n">
        <f aca="false">IFERROR(INDEX(Weights!$B$5:$B$17,MATCH(F58,Weights!$A$5:$A$17,0)),0)</f>
        <v>3</v>
      </c>
      <c r="P58" s="4" t="n">
        <f aca="false">IFERROR(INDEX(Weights!$B$21:$B$23,MATCH(I58,Weights!$A$21:$A$23,0)),0)</f>
        <v>0.7</v>
      </c>
      <c r="Q58" s="4" t="n">
        <f aca="false">IF(L58&lt;&gt;"",IFERROR(INDEX(Weights!$B$33:$B$36,MATCH(L58,Weights!$A$33:$A$36,0)),0),IFERROR(INDEX(Weights!$B$27:$B$29,MATCH(K58,Weights!$A$27:$A$29,0)),0))</f>
        <v>0.25</v>
      </c>
      <c r="R58" s="20" t="n">
        <f aca="false">N58*O58*P58*Q58</f>
        <v>0.525</v>
      </c>
      <c r="S58" s="18" t="s">
        <v>413</v>
      </c>
    </row>
    <row r="59" customFormat="false" ht="26.85" hidden="false" customHeight="false" outlineLevel="0" collapsed="false">
      <c r="A59" s="18" t="s">
        <v>414</v>
      </c>
      <c r="B59" s="18" t="s">
        <v>159</v>
      </c>
      <c r="C59" s="18" t="s">
        <v>415</v>
      </c>
      <c r="D59" s="18" t="s">
        <v>416</v>
      </c>
      <c r="E59" s="18" t="s">
        <v>417</v>
      </c>
      <c r="F59" s="18" t="s">
        <v>32</v>
      </c>
      <c r="G59" s="18" t="s">
        <v>411</v>
      </c>
      <c r="H59" s="18" t="s">
        <v>36</v>
      </c>
      <c r="I59" s="18" t="s">
        <v>51</v>
      </c>
      <c r="J59" s="18" t="s">
        <v>418</v>
      </c>
      <c r="K59" s="18" t="s">
        <v>124</v>
      </c>
      <c r="L59" s="19"/>
      <c r="M59" s="18"/>
      <c r="N59" s="4" t="n">
        <f aca="false">IF(OR(M59&lt;&gt;"",F59="X",F59="O",F59="Q"),0,1)</f>
        <v>1</v>
      </c>
      <c r="O59" s="4" t="n">
        <f aca="false">IFERROR(INDEX(Weights!$B$5:$B$17,MATCH(F59,Weights!$A$5:$A$17,0)),0)</f>
        <v>2</v>
      </c>
      <c r="P59" s="4" t="n">
        <f aca="false">IFERROR(INDEX(Weights!$B$21:$B$23,MATCH(I59,Weights!$A$21:$A$23,0)),0)</f>
        <v>1</v>
      </c>
      <c r="Q59" s="4" t="n">
        <f aca="false">IF(L59&lt;&gt;"",IFERROR(INDEX(Weights!$B$33:$B$36,MATCH(L59,Weights!$A$33:$A$36,0)),0),IFERROR(INDEX(Weights!$B$27:$B$29,MATCH(K59,Weights!$A$27:$A$29,0)),0))</f>
        <v>0.5</v>
      </c>
      <c r="R59" s="20" t="n">
        <f aca="false">N59*O59*P59*Q59</f>
        <v>1</v>
      </c>
      <c r="S59" s="18"/>
    </row>
    <row r="60" customFormat="false" ht="26.85" hidden="false" customHeight="false" outlineLevel="0" collapsed="false">
      <c r="A60" s="18" t="s">
        <v>419</v>
      </c>
      <c r="B60" s="18" t="s">
        <v>159</v>
      </c>
      <c r="C60" s="18" t="s">
        <v>420</v>
      </c>
      <c r="D60" s="18" t="s">
        <v>416</v>
      </c>
      <c r="E60" s="18" t="s">
        <v>417</v>
      </c>
      <c r="F60" s="18" t="s">
        <v>32</v>
      </c>
      <c r="G60" s="18" t="s">
        <v>411</v>
      </c>
      <c r="H60" s="18" t="s">
        <v>36</v>
      </c>
      <c r="I60" s="18" t="s">
        <v>51</v>
      </c>
      <c r="J60" s="18" t="s">
        <v>418</v>
      </c>
      <c r="K60" s="18" t="s">
        <v>124</v>
      </c>
      <c r="L60" s="19"/>
      <c r="M60" s="18"/>
      <c r="N60" s="4" t="n">
        <f aca="false">IF(OR(M60&lt;&gt;"",F60="X",F60="O",F60="Q"),0,1)</f>
        <v>1</v>
      </c>
      <c r="O60" s="4" t="n">
        <f aca="false">IFERROR(INDEX(Weights!$B$5:$B$17,MATCH(F60,Weights!$A$5:$A$17,0)),0)</f>
        <v>2</v>
      </c>
      <c r="P60" s="4" t="n">
        <f aca="false">IFERROR(INDEX(Weights!$B$21:$B$23,MATCH(I60,Weights!$A$21:$A$23,0)),0)</f>
        <v>1</v>
      </c>
      <c r="Q60" s="4" t="n">
        <f aca="false">IF(L60&lt;&gt;"",IFERROR(INDEX(Weights!$B$33:$B$36,MATCH(L60,Weights!$A$33:$A$36,0)),0),IFERROR(INDEX(Weights!$B$27:$B$29,MATCH(K60,Weights!$A$27:$A$29,0)),0))</f>
        <v>0.5</v>
      </c>
      <c r="R60" s="20" t="n">
        <f aca="false">N60*O60*P60*Q60</f>
        <v>1</v>
      </c>
      <c r="S60" s="18"/>
    </row>
    <row r="61" customFormat="false" ht="26.85" hidden="false" customHeight="false" outlineLevel="0" collapsed="false">
      <c r="A61" s="18" t="s">
        <v>421</v>
      </c>
      <c r="B61" s="18" t="s">
        <v>159</v>
      </c>
      <c r="C61" s="18" t="s">
        <v>422</v>
      </c>
      <c r="D61" s="18" t="s">
        <v>423</v>
      </c>
      <c r="E61" s="18" t="s">
        <v>424</v>
      </c>
      <c r="F61" s="18" t="s">
        <v>42</v>
      </c>
      <c r="G61" s="18" t="s">
        <v>178</v>
      </c>
      <c r="H61" s="18" t="s">
        <v>36</v>
      </c>
      <c r="I61" s="18" t="s">
        <v>51</v>
      </c>
      <c r="J61" s="18" t="s">
        <v>425</v>
      </c>
      <c r="K61" s="18" t="s">
        <v>124</v>
      </c>
      <c r="L61" s="19"/>
      <c r="M61" s="18"/>
      <c r="N61" s="4" t="n">
        <f aca="false">IF(OR(M61&lt;&gt;"",F61="X",F61="O",F61="Q"),0,1)</f>
        <v>1</v>
      </c>
      <c r="O61" s="4" t="n">
        <f aca="false">IFERROR(INDEX(Weights!$B$5:$B$17,MATCH(F61,Weights!$A$5:$A$17,0)),0)</f>
        <v>0.25</v>
      </c>
      <c r="P61" s="4" t="n">
        <f aca="false">IFERROR(INDEX(Weights!$B$21:$B$23,MATCH(I61,Weights!$A$21:$A$23,0)),0)</f>
        <v>1</v>
      </c>
      <c r="Q61" s="4" t="n">
        <f aca="false">IF(L61&lt;&gt;"",IFERROR(INDEX(Weights!$B$33:$B$36,MATCH(L61,Weights!$A$33:$A$36,0)),0),IFERROR(INDEX(Weights!$B$27:$B$29,MATCH(K61,Weights!$A$27:$A$29,0)),0))</f>
        <v>0.5</v>
      </c>
      <c r="R61" s="20" t="n">
        <f aca="false">N61*O61*P61*Q61</f>
        <v>0.125</v>
      </c>
      <c r="S61" s="18"/>
    </row>
    <row r="62" customFormat="false" ht="26.85" hidden="false" customHeight="false" outlineLevel="0" collapsed="false">
      <c r="A62" s="18" t="s">
        <v>426</v>
      </c>
      <c r="B62" s="18" t="s">
        <v>159</v>
      </c>
      <c r="C62" s="18" t="s">
        <v>422</v>
      </c>
      <c r="D62" s="18" t="s">
        <v>423</v>
      </c>
      <c r="E62" s="18" t="s">
        <v>427</v>
      </c>
      <c r="F62" s="18" t="s">
        <v>42</v>
      </c>
      <c r="G62" s="18" t="s">
        <v>178</v>
      </c>
      <c r="H62" s="18" t="s">
        <v>36</v>
      </c>
      <c r="I62" s="18" t="s">
        <v>52</v>
      </c>
      <c r="J62" s="18" t="s">
        <v>428</v>
      </c>
      <c r="K62" s="18" t="s">
        <v>124</v>
      </c>
      <c r="L62" s="19"/>
      <c r="M62" s="18" t="s">
        <v>421</v>
      </c>
      <c r="N62" s="4" t="n">
        <f aca="false">IF(OR(M62&lt;&gt;"",F62="X",F62="O",F62="Q"),0,1)</f>
        <v>0</v>
      </c>
      <c r="O62" s="4" t="n">
        <f aca="false">IFERROR(INDEX(Weights!$B$5:$B$17,MATCH(F62,Weights!$A$5:$A$17,0)),0)</f>
        <v>0.25</v>
      </c>
      <c r="P62" s="4" t="n">
        <f aca="false">IFERROR(INDEX(Weights!$B$21:$B$23,MATCH(I62,Weights!$A$21:$A$23,0)),0)</f>
        <v>0.7</v>
      </c>
      <c r="Q62" s="4" t="n">
        <f aca="false">IF(L62&lt;&gt;"",IFERROR(INDEX(Weights!$B$33:$B$36,MATCH(L62,Weights!$A$33:$A$36,0)),0),IFERROR(INDEX(Weights!$B$27:$B$29,MATCH(K62,Weights!$A$27:$A$29,0)),0))</f>
        <v>0.5</v>
      </c>
      <c r="R62" s="20" t="n">
        <f aca="false">N62*O62*P62*Q62</f>
        <v>0</v>
      </c>
      <c r="S62" s="18" t="s">
        <v>429</v>
      </c>
    </row>
    <row r="63" customFormat="false" ht="26.85" hidden="false" customHeight="false" outlineLevel="0" collapsed="false">
      <c r="A63" s="18" t="s">
        <v>430</v>
      </c>
      <c r="B63" s="18" t="s">
        <v>159</v>
      </c>
      <c r="C63" s="18" t="s">
        <v>431</v>
      </c>
      <c r="D63" s="18" t="s">
        <v>431</v>
      </c>
      <c r="E63" s="18" t="s">
        <v>432</v>
      </c>
      <c r="F63" s="18" t="s">
        <v>44</v>
      </c>
      <c r="G63" s="18" t="s">
        <v>185</v>
      </c>
      <c r="H63" s="18" t="s">
        <v>36</v>
      </c>
      <c r="I63" s="18" t="s">
        <v>40</v>
      </c>
      <c r="J63" s="18" t="s">
        <v>186</v>
      </c>
      <c r="K63" s="18" t="s">
        <v>126</v>
      </c>
      <c r="L63" s="19"/>
      <c r="M63" s="18"/>
      <c r="N63" s="4" t="n">
        <f aca="false">IF(OR(M63&lt;&gt;"",F63="X",F63="O",F63="Q"),0,1)</f>
        <v>1</v>
      </c>
      <c r="O63" s="4" t="n">
        <f aca="false">IFERROR(INDEX(Weights!$B$5:$B$17,MATCH(F63,Weights!$A$5:$A$17,0)),0)</f>
        <v>0.5</v>
      </c>
      <c r="P63" s="4" t="n">
        <f aca="false">IFERROR(INDEX(Weights!$B$21:$B$23,MATCH(I63,Weights!$A$21:$A$23,0)),0)</f>
        <v>0.4</v>
      </c>
      <c r="Q63" s="4" t="n">
        <f aca="false">IF(L63&lt;&gt;"",IFERROR(INDEX(Weights!$B$33:$B$36,MATCH(L63,Weights!$A$33:$A$36,0)),0),IFERROR(INDEX(Weights!$B$27:$B$29,MATCH(K63,Weights!$A$27:$A$29,0)),0))</f>
        <v>0.25</v>
      </c>
      <c r="R63" s="20" t="n">
        <f aca="false">N63*O63*P63*Q63</f>
        <v>0.05</v>
      </c>
      <c r="S63" s="18" t="s">
        <v>342</v>
      </c>
    </row>
    <row r="64" customFormat="false" ht="26.85" hidden="false" customHeight="false" outlineLevel="0" collapsed="false">
      <c r="A64" s="18" t="s">
        <v>433</v>
      </c>
      <c r="B64" s="18" t="s">
        <v>159</v>
      </c>
      <c r="C64" s="18" t="s">
        <v>434</v>
      </c>
      <c r="D64" s="18" t="s">
        <v>435</v>
      </c>
      <c r="E64" s="18" t="s">
        <v>436</v>
      </c>
      <c r="F64" s="18" t="s">
        <v>32</v>
      </c>
      <c r="G64" s="18" t="s">
        <v>411</v>
      </c>
      <c r="H64" s="18" t="s">
        <v>36</v>
      </c>
      <c r="I64" s="18" t="s">
        <v>52</v>
      </c>
      <c r="J64" s="18" t="s">
        <v>386</v>
      </c>
      <c r="K64" s="18" t="s">
        <v>126</v>
      </c>
      <c r="L64" s="19"/>
      <c r="M64" s="18"/>
      <c r="N64" s="4" t="n">
        <f aca="false">IF(OR(M64&lt;&gt;"",F64="X",F64="O",F64="Q"),0,1)</f>
        <v>1</v>
      </c>
      <c r="O64" s="4" t="n">
        <f aca="false">IFERROR(INDEX(Weights!$B$5:$B$17,MATCH(F64,Weights!$A$5:$A$17,0)),0)</f>
        <v>2</v>
      </c>
      <c r="P64" s="4" t="n">
        <f aca="false">IFERROR(INDEX(Weights!$B$21:$B$23,MATCH(I64,Weights!$A$21:$A$23,0)),0)</f>
        <v>0.7</v>
      </c>
      <c r="Q64" s="4" t="n">
        <f aca="false">IF(L64&lt;&gt;"",IFERROR(INDEX(Weights!$B$33:$B$36,MATCH(L64,Weights!$A$33:$A$36,0)),0),IFERROR(INDEX(Weights!$B$27:$B$29,MATCH(K64,Weights!$A$27:$A$29,0)),0))</f>
        <v>0.25</v>
      </c>
      <c r="R64" s="20" t="n">
        <f aca="false">N64*O64*P64*Q64</f>
        <v>0.35</v>
      </c>
      <c r="S64" s="18"/>
    </row>
    <row r="65" customFormat="false" ht="26.85" hidden="false" customHeight="false" outlineLevel="0" collapsed="false">
      <c r="A65" s="18" t="s">
        <v>437</v>
      </c>
      <c r="B65" s="18" t="s">
        <v>159</v>
      </c>
      <c r="C65" s="18" t="s">
        <v>438</v>
      </c>
      <c r="D65" s="18" t="s">
        <v>439</v>
      </c>
      <c r="E65" s="18" t="s">
        <v>440</v>
      </c>
      <c r="F65" s="18" t="s">
        <v>38</v>
      </c>
      <c r="G65" s="18" t="s">
        <v>185</v>
      </c>
      <c r="H65" s="18" t="s">
        <v>36</v>
      </c>
      <c r="I65" s="18" t="s">
        <v>40</v>
      </c>
      <c r="J65" s="18" t="s">
        <v>186</v>
      </c>
      <c r="K65" s="18" t="s">
        <v>126</v>
      </c>
      <c r="L65" s="19"/>
      <c r="M65" s="18"/>
      <c r="N65" s="4" t="n">
        <f aca="false">IF(OR(M65&lt;&gt;"",F65="X",F65="O",F65="Q"),0,1)</f>
        <v>1</v>
      </c>
      <c r="O65" s="4" t="n">
        <f aca="false">IFERROR(INDEX(Weights!$B$5:$B$17,MATCH(F65,Weights!$A$5:$A$17,0)),0)</f>
        <v>2</v>
      </c>
      <c r="P65" s="4" t="n">
        <f aca="false">IFERROR(INDEX(Weights!$B$21:$B$23,MATCH(I65,Weights!$A$21:$A$23,0)),0)</f>
        <v>0.4</v>
      </c>
      <c r="Q65" s="4" t="n">
        <f aca="false">IF(L65&lt;&gt;"",IFERROR(INDEX(Weights!$B$33:$B$36,MATCH(L65,Weights!$A$33:$A$36,0)),0),IFERROR(INDEX(Weights!$B$27:$B$29,MATCH(K65,Weights!$A$27:$A$29,0)),0))</f>
        <v>0.25</v>
      </c>
      <c r="R65" s="20" t="n">
        <f aca="false">N65*O65*P65*Q65</f>
        <v>0.2</v>
      </c>
      <c r="S65" s="18" t="s">
        <v>441</v>
      </c>
    </row>
    <row r="66" customFormat="false" ht="26.85" hidden="false" customHeight="false" outlineLevel="0" collapsed="false">
      <c r="A66" s="18" t="s">
        <v>442</v>
      </c>
      <c r="B66" s="18" t="s">
        <v>159</v>
      </c>
      <c r="C66" s="18" t="s">
        <v>219</v>
      </c>
      <c r="D66" s="18" t="s">
        <v>443</v>
      </c>
      <c r="E66" s="18" t="s">
        <v>444</v>
      </c>
      <c r="F66" s="18" t="s">
        <v>110</v>
      </c>
      <c r="G66" s="18" t="s">
        <v>185</v>
      </c>
      <c r="H66" s="18" t="s">
        <v>222</v>
      </c>
      <c r="I66" s="18" t="s">
        <v>40</v>
      </c>
      <c r="J66" s="18" t="s">
        <v>186</v>
      </c>
      <c r="K66" s="18" t="s">
        <v>128</v>
      </c>
      <c r="L66" s="19"/>
      <c r="M66" s="18"/>
      <c r="N66" s="4" t="n">
        <f aca="false">IF(OR(M66&lt;&gt;"",F66="X",F66="O",F66="Q"),0,1)</f>
        <v>0</v>
      </c>
      <c r="O66" s="4" t="n">
        <f aca="false">IFERROR(INDEX(Weights!$B$5:$B$17,MATCH(F66,Weights!$A$5:$A$17,0)),0)</f>
        <v>0</v>
      </c>
      <c r="P66" s="4" t="n">
        <f aca="false">IFERROR(INDEX(Weights!$B$21:$B$23,MATCH(I66,Weights!$A$21:$A$23,0)),0)</f>
        <v>0.4</v>
      </c>
      <c r="Q66" s="4" t="n">
        <f aca="false">IF(L66&lt;&gt;"",IFERROR(INDEX(Weights!$B$33:$B$36,MATCH(L66,Weights!$A$33:$A$36,0)),0),IFERROR(INDEX(Weights!$B$27:$B$29,MATCH(K66,Weights!$A$27:$A$29,0)),0))</f>
        <v>0.1</v>
      </c>
      <c r="R66" s="20" t="n">
        <f aca="false">N66*O66*P66*Q66</f>
        <v>0</v>
      </c>
      <c r="S66" s="18" t="s">
        <v>234</v>
      </c>
    </row>
    <row r="67" customFormat="false" ht="26.85" hidden="false" customHeight="false" outlineLevel="0" collapsed="false">
      <c r="A67" s="18" t="s">
        <v>445</v>
      </c>
      <c r="B67" s="18" t="s">
        <v>446</v>
      </c>
      <c r="C67" s="18" t="s">
        <v>447</v>
      </c>
      <c r="D67" s="18" t="s">
        <v>448</v>
      </c>
      <c r="E67" s="18" t="s">
        <v>449</v>
      </c>
      <c r="F67" s="18" t="s">
        <v>34</v>
      </c>
      <c r="G67" s="18" t="s">
        <v>163</v>
      </c>
      <c r="H67" s="18" t="s">
        <v>36</v>
      </c>
      <c r="I67" s="18" t="s">
        <v>40</v>
      </c>
      <c r="J67" s="18" t="s">
        <v>186</v>
      </c>
      <c r="K67" s="18" t="s">
        <v>124</v>
      </c>
      <c r="L67" s="19"/>
      <c r="M67" s="18"/>
      <c r="N67" s="4" t="n">
        <f aca="false">IF(OR(M67&lt;&gt;"",F67="X",F67="O",F67="Q"),0,1)</f>
        <v>1</v>
      </c>
      <c r="O67" s="4" t="n">
        <f aca="false">IFERROR(INDEX(Weights!$B$5:$B$17,MATCH(F67,Weights!$A$5:$A$17,0)),0)</f>
        <v>2</v>
      </c>
      <c r="P67" s="4" t="n">
        <f aca="false">IFERROR(INDEX(Weights!$B$21:$B$23,MATCH(I67,Weights!$A$21:$A$23,0)),0)</f>
        <v>0.4</v>
      </c>
      <c r="Q67" s="4" t="n">
        <f aca="false">IF(L67&lt;&gt;"",IFERROR(INDEX(Weights!$B$33:$B$36,MATCH(L67,Weights!$A$33:$A$36,0)),0),IFERROR(INDEX(Weights!$B$27:$B$29,MATCH(K67,Weights!$A$27:$A$29,0)),0))</f>
        <v>0.5</v>
      </c>
      <c r="R67" s="20" t="n">
        <f aca="false">N67*O67*P67*Q67</f>
        <v>0.4</v>
      </c>
      <c r="S67" s="18"/>
    </row>
    <row r="68" customFormat="false" ht="26.85" hidden="false" customHeight="false" outlineLevel="0" collapsed="false">
      <c r="A68" s="18" t="s">
        <v>450</v>
      </c>
      <c r="B68" s="18"/>
      <c r="C68" s="18" t="s">
        <v>451</v>
      </c>
      <c r="D68" s="18" t="s">
        <v>168</v>
      </c>
      <c r="E68" s="18" t="s">
        <v>452</v>
      </c>
      <c r="F68" s="18" t="s">
        <v>36</v>
      </c>
      <c r="G68" s="18" t="s">
        <v>170</v>
      </c>
      <c r="H68" s="18" t="s">
        <v>36</v>
      </c>
      <c r="I68" s="18" t="s">
        <v>52</v>
      </c>
      <c r="J68" s="18" t="s">
        <v>453</v>
      </c>
      <c r="K68" s="18" t="s">
        <v>126</v>
      </c>
      <c r="L68" s="19"/>
      <c r="M68" s="18"/>
      <c r="N68" s="4" t="n">
        <f aca="false">IF(OR(M68&lt;&gt;"",F68="X",F68="O",F68="Q"),0,1)</f>
        <v>1</v>
      </c>
      <c r="O68" s="4" t="n">
        <f aca="false">IFERROR(INDEX(Weights!$B$5:$B$17,MATCH(F68,Weights!$A$5:$A$17,0)),0)</f>
        <v>1.5</v>
      </c>
      <c r="P68" s="4" t="n">
        <f aca="false">IFERROR(INDEX(Weights!$B$21:$B$23,MATCH(I68,Weights!$A$21:$A$23,0)),0)</f>
        <v>0.7</v>
      </c>
      <c r="Q68" s="4" t="n">
        <f aca="false">IF(L68&lt;&gt;"",IFERROR(INDEX(Weights!$B$33:$B$36,MATCH(L68,Weights!$A$33:$A$36,0)),0),IFERROR(INDEX(Weights!$B$27:$B$29,MATCH(K68,Weights!$A$27:$A$29,0)),0))</f>
        <v>0.25</v>
      </c>
      <c r="R68" s="20" t="n">
        <f aca="false">N68*O68*P68*Q68</f>
        <v>0.2625</v>
      </c>
      <c r="S68" s="18" t="s">
        <v>454</v>
      </c>
    </row>
    <row r="69" customFormat="false" ht="15" hidden="false" customHeight="false" outlineLevel="0" collapsed="false">
      <c r="A69" s="18" t="s">
        <v>455</v>
      </c>
      <c r="B69" s="18"/>
      <c r="C69" s="18" t="s">
        <v>456</v>
      </c>
      <c r="D69" s="18" t="s">
        <v>353</v>
      </c>
      <c r="E69" s="18" t="s">
        <v>457</v>
      </c>
      <c r="F69" s="18" t="s">
        <v>42</v>
      </c>
      <c r="G69" s="18" t="s">
        <v>178</v>
      </c>
      <c r="H69" s="18" t="s">
        <v>36</v>
      </c>
      <c r="I69" s="18" t="s">
        <v>52</v>
      </c>
      <c r="J69" s="18" t="s">
        <v>458</v>
      </c>
      <c r="K69" s="18" t="s">
        <v>124</v>
      </c>
      <c r="L69" s="19"/>
      <c r="M69" s="18"/>
      <c r="N69" s="4" t="n">
        <f aca="false">IF(OR(M69&lt;&gt;"",F69="X",F69="O",F69="Q"),0,1)</f>
        <v>1</v>
      </c>
      <c r="O69" s="4" t="n">
        <f aca="false">IFERROR(INDEX(Weights!$B$5:$B$17,MATCH(F69,Weights!$A$5:$A$17,0)),0)</f>
        <v>0.25</v>
      </c>
      <c r="P69" s="4" t="n">
        <f aca="false">IFERROR(INDEX(Weights!$B$21:$B$23,MATCH(I69,Weights!$A$21:$A$23,0)),0)</f>
        <v>0.7</v>
      </c>
      <c r="Q69" s="4" t="n">
        <f aca="false">IF(L69&lt;&gt;"",IFERROR(INDEX(Weights!$B$33:$B$36,MATCH(L69,Weights!$A$33:$A$36,0)),0),IFERROR(INDEX(Weights!$B$27:$B$29,MATCH(K69,Weights!$A$27:$A$29,0)),0))</f>
        <v>0.5</v>
      </c>
      <c r="R69" s="20" t="n">
        <f aca="false">N69*O69*P69*Q69</f>
        <v>0.0875</v>
      </c>
      <c r="S69" s="18"/>
    </row>
    <row r="70" customFormat="false" ht="26.85" hidden="false" customHeight="false" outlineLevel="0" collapsed="false">
      <c r="A70" s="18" t="s">
        <v>459</v>
      </c>
      <c r="B70" s="18"/>
      <c r="C70" s="18" t="s">
        <v>460</v>
      </c>
      <c r="D70" s="18" t="s">
        <v>69</v>
      </c>
      <c r="E70" s="18" t="s">
        <v>461</v>
      </c>
      <c r="F70" s="18" t="s">
        <v>113</v>
      </c>
      <c r="G70" s="18" t="s">
        <v>163</v>
      </c>
      <c r="H70" s="18" t="s">
        <v>36</v>
      </c>
      <c r="I70" s="18" t="s">
        <v>52</v>
      </c>
      <c r="J70" s="18" t="s">
        <v>386</v>
      </c>
      <c r="K70" s="18" t="s">
        <v>124</v>
      </c>
      <c r="L70" s="19"/>
      <c r="M70" s="18"/>
      <c r="N70" s="4" t="n">
        <f aca="false">IF(OR(M70&lt;&gt;"",F70="X",F70="O",F70="Q"),0,1)</f>
        <v>0</v>
      </c>
      <c r="O70" s="4" t="n">
        <f aca="false">IFERROR(INDEX(Weights!$B$5:$B$17,MATCH(F70,Weights!$A$5:$A$17,0)),0)</f>
        <v>0</v>
      </c>
      <c r="P70" s="4" t="n">
        <f aca="false">IFERROR(INDEX(Weights!$B$21:$B$23,MATCH(I70,Weights!$A$21:$A$23,0)),0)</f>
        <v>0.7</v>
      </c>
      <c r="Q70" s="4" t="n">
        <f aca="false">IF(L70&lt;&gt;"",IFERROR(INDEX(Weights!$B$33:$B$36,MATCH(L70,Weights!$A$33:$A$36,0)),0),IFERROR(INDEX(Weights!$B$27:$B$29,MATCH(K70,Weights!$A$27:$A$29,0)),0))</f>
        <v>0.5</v>
      </c>
      <c r="R70" s="20" t="n">
        <f aca="false">N70*O70*P70*Q70</f>
        <v>0</v>
      </c>
      <c r="S70" s="18" t="s">
        <v>350</v>
      </c>
    </row>
    <row r="71" customFormat="false" ht="26.85" hidden="false" customHeight="false" outlineLevel="0" collapsed="false">
      <c r="A71" s="18" t="s">
        <v>462</v>
      </c>
      <c r="B71" s="18"/>
      <c r="C71" s="18" t="s">
        <v>463</v>
      </c>
      <c r="D71" s="18" t="s">
        <v>292</v>
      </c>
      <c r="E71" s="18" t="s">
        <v>464</v>
      </c>
      <c r="F71" s="18" t="s">
        <v>28</v>
      </c>
      <c r="G71" s="18" t="s">
        <v>178</v>
      </c>
      <c r="H71" s="18" t="s">
        <v>36</v>
      </c>
      <c r="I71" s="18" t="s">
        <v>51</v>
      </c>
      <c r="J71" s="18" t="s">
        <v>465</v>
      </c>
      <c r="K71" s="18" t="s">
        <v>124</v>
      </c>
      <c r="L71" s="19"/>
      <c r="M71" s="18" t="s">
        <v>290</v>
      </c>
      <c r="N71" s="4" t="n">
        <f aca="false">IF(OR(M71&lt;&gt;"",F71="X",F71="O",F71="Q"),0,1)</f>
        <v>0</v>
      </c>
      <c r="O71" s="4" t="n">
        <f aca="false">IFERROR(INDEX(Weights!$B$5:$B$17,MATCH(F71,Weights!$A$5:$A$17,0)),0)</f>
        <v>2</v>
      </c>
      <c r="P71" s="4" t="n">
        <f aca="false">IFERROR(INDEX(Weights!$B$21:$B$23,MATCH(I71,Weights!$A$21:$A$23,0)),0)</f>
        <v>1</v>
      </c>
      <c r="Q71" s="4" t="n">
        <f aca="false">IF(L71&lt;&gt;"",IFERROR(INDEX(Weights!$B$33:$B$36,MATCH(L71,Weights!$A$33:$A$36,0)),0),IFERROR(INDEX(Weights!$B$27:$B$29,MATCH(K71,Weights!$A$27:$A$29,0)),0))</f>
        <v>0.5</v>
      </c>
      <c r="R71" s="20" t="n">
        <f aca="false">N71*O71*P71*Q71</f>
        <v>0</v>
      </c>
      <c r="S71" s="18" t="s">
        <v>466</v>
      </c>
    </row>
    <row r="72" customFormat="false" ht="26.85" hidden="false" customHeight="false" outlineLevel="0" collapsed="false">
      <c r="A72" s="18" t="s">
        <v>467</v>
      </c>
      <c r="B72" s="18"/>
      <c r="C72" s="18" t="s">
        <v>468</v>
      </c>
      <c r="D72" s="18" t="s">
        <v>469</v>
      </c>
      <c r="E72" s="18" t="s">
        <v>470</v>
      </c>
      <c r="F72" s="18" t="s">
        <v>42</v>
      </c>
      <c r="G72" s="18" t="s">
        <v>170</v>
      </c>
      <c r="H72" s="18" t="s">
        <v>36</v>
      </c>
      <c r="I72" s="18" t="s">
        <v>51</v>
      </c>
      <c r="J72" s="18" t="s">
        <v>471</v>
      </c>
      <c r="K72" s="18" t="s">
        <v>124</v>
      </c>
      <c r="L72" s="19"/>
      <c r="M72" s="18"/>
      <c r="N72" s="4" t="n">
        <f aca="false">IF(OR(M72&lt;&gt;"",F72="X",F72="O",F72="Q"),0,1)</f>
        <v>1</v>
      </c>
      <c r="O72" s="4" t="n">
        <f aca="false">IFERROR(INDEX(Weights!$B$5:$B$17,MATCH(F72,Weights!$A$5:$A$17,0)),0)</f>
        <v>0.25</v>
      </c>
      <c r="P72" s="4" t="n">
        <f aca="false">IFERROR(INDEX(Weights!$B$21:$B$23,MATCH(I72,Weights!$A$21:$A$23,0)),0)</f>
        <v>1</v>
      </c>
      <c r="Q72" s="4" t="n">
        <f aca="false">IF(L72&lt;&gt;"",IFERROR(INDEX(Weights!$B$33:$B$36,MATCH(L72,Weights!$A$33:$A$36,0)),0),IFERROR(INDEX(Weights!$B$27:$B$29,MATCH(K72,Weights!$A$27:$A$29,0)),0))</f>
        <v>0.5</v>
      </c>
      <c r="R72" s="20" t="n">
        <f aca="false">N72*O72*P72*Q72</f>
        <v>0.125</v>
      </c>
      <c r="S72" s="18" t="s">
        <v>472</v>
      </c>
    </row>
    <row r="73" customFormat="false" ht="26.85" hidden="false" customHeight="false" outlineLevel="0" collapsed="false">
      <c r="A73" s="18" t="s">
        <v>473</v>
      </c>
      <c r="B73" s="18"/>
      <c r="C73" s="18" t="s">
        <v>463</v>
      </c>
      <c r="D73" s="18" t="s">
        <v>292</v>
      </c>
      <c r="E73" s="18" t="s">
        <v>474</v>
      </c>
      <c r="F73" s="18" t="s">
        <v>28</v>
      </c>
      <c r="G73" s="18" t="s">
        <v>178</v>
      </c>
      <c r="H73" s="18" t="s">
        <v>36</v>
      </c>
      <c r="I73" s="18" t="s">
        <v>52</v>
      </c>
      <c r="J73" s="18" t="s">
        <v>386</v>
      </c>
      <c r="K73" s="18" t="s">
        <v>124</v>
      </c>
      <c r="L73" s="19"/>
      <c r="M73" s="18" t="s">
        <v>290</v>
      </c>
      <c r="N73" s="4" t="n">
        <f aca="false">IF(OR(M73&lt;&gt;"",F73="X",F73="O",F73="Q"),0,1)</f>
        <v>0</v>
      </c>
      <c r="O73" s="4" t="n">
        <f aca="false">IFERROR(INDEX(Weights!$B$5:$B$17,MATCH(F73,Weights!$A$5:$A$17,0)),0)</f>
        <v>2</v>
      </c>
      <c r="P73" s="4" t="n">
        <f aca="false">IFERROR(INDEX(Weights!$B$21:$B$23,MATCH(I73,Weights!$A$21:$A$23,0)),0)</f>
        <v>0.7</v>
      </c>
      <c r="Q73" s="4" t="n">
        <f aca="false">IF(L73&lt;&gt;"",IFERROR(INDEX(Weights!$B$33:$B$36,MATCH(L73,Weights!$A$33:$A$36,0)),0),IFERROR(INDEX(Weights!$B$27:$B$29,MATCH(K73,Weights!$A$27:$A$29,0)),0))</f>
        <v>0.5</v>
      </c>
      <c r="R73" s="20" t="n">
        <f aca="false">N73*O73*P73*Q73</f>
        <v>0</v>
      </c>
      <c r="S73" s="18" t="s">
        <v>475</v>
      </c>
    </row>
    <row r="74" customFormat="false" ht="15" hidden="false" customHeight="false" outlineLevel="0" collapsed="false">
      <c r="A74" s="18" t="s">
        <v>476</v>
      </c>
      <c r="B74" s="18"/>
      <c r="C74" s="18" t="s">
        <v>214</v>
      </c>
      <c r="D74" s="18" t="s">
        <v>168</v>
      </c>
      <c r="E74" s="18" t="s">
        <v>477</v>
      </c>
      <c r="F74" s="18" t="s">
        <v>115</v>
      </c>
      <c r="G74" s="18" t="s">
        <v>170</v>
      </c>
      <c r="H74" s="18" t="s">
        <v>36</v>
      </c>
      <c r="I74" s="18" t="s">
        <v>40</v>
      </c>
      <c r="J74" s="18" t="s">
        <v>478</v>
      </c>
      <c r="K74" s="18" t="s">
        <v>128</v>
      </c>
      <c r="L74" s="19"/>
      <c r="M74" s="18"/>
      <c r="N74" s="4" t="n">
        <f aca="false">IF(OR(M74&lt;&gt;"",F74="X",F74="O",F74="Q"),0,1)</f>
        <v>0</v>
      </c>
      <c r="O74" s="4" t="n">
        <f aca="false">IFERROR(INDEX(Weights!$B$5:$B$17,MATCH(F74,Weights!$A$5:$A$17,0)),0)</f>
        <v>0</v>
      </c>
      <c r="P74" s="4" t="n">
        <f aca="false">IFERROR(INDEX(Weights!$B$21:$B$23,MATCH(I74,Weights!$A$21:$A$23,0)),0)</f>
        <v>0.4</v>
      </c>
      <c r="Q74" s="4" t="n">
        <f aca="false">IF(L74&lt;&gt;"",IFERROR(INDEX(Weights!$B$33:$B$36,MATCH(L74,Weights!$A$33:$A$36,0)),0),IFERROR(INDEX(Weights!$B$27:$B$29,MATCH(K74,Weights!$A$27:$A$29,0)),0))</f>
        <v>0.1</v>
      </c>
      <c r="R74" s="20" t="n">
        <f aca="false">N74*O74*P74*Q74</f>
        <v>0</v>
      </c>
      <c r="S74" s="18" t="s">
        <v>479</v>
      </c>
    </row>
    <row r="75" customFormat="false" ht="15" hidden="false" customHeight="false" outlineLevel="0" collapsed="false">
      <c r="A75" s="18" t="s">
        <v>480</v>
      </c>
      <c r="B75" s="18"/>
      <c r="C75" s="18" t="s">
        <v>214</v>
      </c>
      <c r="D75" s="18" t="s">
        <v>322</v>
      </c>
      <c r="E75" s="18" t="s">
        <v>481</v>
      </c>
      <c r="F75" s="18" t="s">
        <v>115</v>
      </c>
      <c r="G75" s="18" t="s">
        <v>170</v>
      </c>
      <c r="H75" s="18" t="s">
        <v>36</v>
      </c>
      <c r="I75" s="18" t="s">
        <v>52</v>
      </c>
      <c r="J75" s="18" t="s">
        <v>458</v>
      </c>
      <c r="K75" s="18" t="s">
        <v>128</v>
      </c>
      <c r="L75" s="19"/>
      <c r="M75" s="18"/>
      <c r="N75" s="4" t="n">
        <f aca="false">IF(OR(M75&lt;&gt;"",F75="X",F75="O",F75="Q"),0,1)</f>
        <v>0</v>
      </c>
      <c r="O75" s="4" t="n">
        <f aca="false">IFERROR(INDEX(Weights!$B$5:$B$17,MATCH(F75,Weights!$A$5:$A$17,0)),0)</f>
        <v>0</v>
      </c>
      <c r="P75" s="4" t="n">
        <f aca="false">IFERROR(INDEX(Weights!$B$21:$B$23,MATCH(I75,Weights!$A$21:$A$23,0)),0)</f>
        <v>0.7</v>
      </c>
      <c r="Q75" s="4" t="n">
        <f aca="false">IF(L75&lt;&gt;"",IFERROR(INDEX(Weights!$B$33:$B$36,MATCH(L75,Weights!$A$33:$A$36,0)),0),IFERROR(INDEX(Weights!$B$27:$B$29,MATCH(K75,Weights!$A$27:$A$29,0)),0))</f>
        <v>0.1</v>
      </c>
      <c r="R75" s="20" t="n">
        <f aca="false">N75*O75*P75*Q75</f>
        <v>0</v>
      </c>
      <c r="S75" s="18" t="s">
        <v>479</v>
      </c>
    </row>
    <row r="76" customFormat="false" ht="15" hidden="false" customHeight="false" outlineLevel="0" collapsed="false">
      <c r="A76" s="18" t="s">
        <v>482</v>
      </c>
      <c r="B76" s="18"/>
      <c r="C76" s="18" t="s">
        <v>483</v>
      </c>
      <c r="D76" s="18" t="s">
        <v>322</v>
      </c>
      <c r="E76" s="18" t="s">
        <v>484</v>
      </c>
      <c r="F76" s="18" t="s">
        <v>28</v>
      </c>
      <c r="G76" s="18" t="s">
        <v>178</v>
      </c>
      <c r="H76" s="18" t="s">
        <v>36</v>
      </c>
      <c r="I76" s="18" t="s">
        <v>51</v>
      </c>
      <c r="J76" s="18" t="s">
        <v>485</v>
      </c>
      <c r="K76" s="18" t="s">
        <v>124</v>
      </c>
      <c r="L76" s="19"/>
      <c r="M76" s="18"/>
      <c r="N76" s="4" t="n">
        <f aca="false">IF(OR(M76&lt;&gt;"",F76="X",F76="O",F76="Q"),0,1)</f>
        <v>1</v>
      </c>
      <c r="O76" s="4" t="n">
        <f aca="false">IFERROR(INDEX(Weights!$B$5:$B$17,MATCH(F76,Weights!$A$5:$A$17,0)),0)</f>
        <v>2</v>
      </c>
      <c r="P76" s="4" t="n">
        <f aca="false">IFERROR(INDEX(Weights!$B$21:$B$23,MATCH(I76,Weights!$A$21:$A$23,0)),0)</f>
        <v>1</v>
      </c>
      <c r="Q76" s="4" t="n">
        <f aca="false">IF(L76&lt;&gt;"",IFERROR(INDEX(Weights!$B$33:$B$36,MATCH(L76,Weights!$A$33:$A$36,0)),0),IFERROR(INDEX(Weights!$B$27:$B$29,MATCH(K76,Weights!$A$27:$A$29,0)),0))</f>
        <v>0.5</v>
      </c>
      <c r="R76" s="20" t="n">
        <f aca="false">N76*O76*P76*Q76</f>
        <v>1</v>
      </c>
      <c r="S76" s="18"/>
    </row>
    <row r="77" customFormat="false" ht="26.85" hidden="false" customHeight="false" outlineLevel="0" collapsed="false">
      <c r="A77" s="18" t="s">
        <v>486</v>
      </c>
      <c r="B77" s="18"/>
      <c r="C77" s="18" t="s">
        <v>219</v>
      </c>
      <c r="D77" s="18" t="s">
        <v>487</v>
      </c>
      <c r="E77" s="18" t="s">
        <v>488</v>
      </c>
      <c r="F77" s="18" t="s">
        <v>110</v>
      </c>
      <c r="G77" s="18" t="s">
        <v>185</v>
      </c>
      <c r="H77" s="18" t="s">
        <v>222</v>
      </c>
      <c r="I77" s="18" t="s">
        <v>51</v>
      </c>
      <c r="J77" s="18" t="s">
        <v>489</v>
      </c>
      <c r="K77" s="18" t="s">
        <v>124</v>
      </c>
      <c r="L77" s="19"/>
      <c r="M77" s="18"/>
      <c r="N77" s="4" t="n">
        <f aca="false">IF(OR(M77&lt;&gt;"",F77="X",F77="O",F77="Q"),0,1)</f>
        <v>0</v>
      </c>
      <c r="O77" s="4" t="n">
        <f aca="false">IFERROR(INDEX(Weights!$B$5:$B$17,MATCH(F77,Weights!$A$5:$A$17,0)),0)</f>
        <v>0</v>
      </c>
      <c r="P77" s="4" t="n">
        <f aca="false">IFERROR(INDEX(Weights!$B$21:$B$23,MATCH(I77,Weights!$A$21:$A$23,0)),0)</f>
        <v>1</v>
      </c>
      <c r="Q77" s="4" t="n">
        <f aca="false">IF(L77&lt;&gt;"",IFERROR(INDEX(Weights!$B$33:$B$36,MATCH(L77,Weights!$A$33:$A$36,0)),0),IFERROR(INDEX(Weights!$B$27:$B$29,MATCH(K77,Weights!$A$27:$A$29,0)),0))</f>
        <v>0.5</v>
      </c>
      <c r="R77" s="20" t="n">
        <f aca="false">N77*O77*P77*Q77</f>
        <v>0</v>
      </c>
      <c r="S77" s="18" t="s">
        <v>490</v>
      </c>
    </row>
    <row r="78" customFormat="false" ht="26.85" hidden="false" customHeight="false" outlineLevel="0" collapsed="false">
      <c r="A78" s="18" t="s">
        <v>491</v>
      </c>
      <c r="B78" s="18"/>
      <c r="C78" s="18" t="s">
        <v>460</v>
      </c>
      <c r="D78" s="18" t="s">
        <v>492</v>
      </c>
      <c r="E78" s="18" t="s">
        <v>493</v>
      </c>
      <c r="F78" s="18" t="s">
        <v>42</v>
      </c>
      <c r="G78" s="18" t="s">
        <v>163</v>
      </c>
      <c r="H78" s="18" t="s">
        <v>36</v>
      </c>
      <c r="I78" s="18" t="s">
        <v>52</v>
      </c>
      <c r="J78" s="18" t="s">
        <v>458</v>
      </c>
      <c r="K78" s="18" t="s">
        <v>124</v>
      </c>
      <c r="L78" s="19"/>
      <c r="M78" s="18"/>
      <c r="N78" s="4" t="n">
        <f aca="false">IF(OR(M78&lt;&gt;"",F78="X",F78="O",F78="Q"),0,1)</f>
        <v>1</v>
      </c>
      <c r="O78" s="4" t="n">
        <f aca="false">IFERROR(INDEX(Weights!$B$5:$B$17,MATCH(F78,Weights!$A$5:$A$17,0)),0)</f>
        <v>0.25</v>
      </c>
      <c r="P78" s="4" t="n">
        <f aca="false">IFERROR(INDEX(Weights!$B$21:$B$23,MATCH(I78,Weights!$A$21:$A$23,0)),0)</f>
        <v>0.7</v>
      </c>
      <c r="Q78" s="4" t="n">
        <f aca="false">IF(L78&lt;&gt;"",IFERROR(INDEX(Weights!$B$33:$B$36,MATCH(L78,Weights!$A$33:$A$36,0)),0),IFERROR(INDEX(Weights!$B$27:$B$29,MATCH(K78,Weights!$A$27:$A$29,0)),0))</f>
        <v>0.5</v>
      </c>
      <c r="R78" s="20" t="n">
        <f aca="false">N78*O78*P78*Q78</f>
        <v>0.0875</v>
      </c>
      <c r="S78" s="18"/>
    </row>
    <row r="79" customFormat="false" ht="26.85" hidden="false" customHeight="false" outlineLevel="0" collapsed="false">
      <c r="A79" s="18" t="s">
        <v>494</v>
      </c>
      <c r="B79" s="18"/>
      <c r="C79" s="18" t="s">
        <v>219</v>
      </c>
      <c r="D79" s="18" t="s">
        <v>495</v>
      </c>
      <c r="E79" s="18" t="s">
        <v>496</v>
      </c>
      <c r="F79" s="18" t="s">
        <v>110</v>
      </c>
      <c r="G79" s="18" t="s">
        <v>185</v>
      </c>
      <c r="H79" s="18" t="s">
        <v>222</v>
      </c>
      <c r="I79" s="18" t="s">
        <v>52</v>
      </c>
      <c r="J79" s="18" t="s">
        <v>458</v>
      </c>
      <c r="K79" s="18" t="s">
        <v>128</v>
      </c>
      <c r="L79" s="19"/>
      <c r="M79" s="18"/>
      <c r="N79" s="4" t="n">
        <f aca="false">IF(OR(M79&lt;&gt;"",F79="X",F79="O",F79="Q"),0,1)</f>
        <v>0</v>
      </c>
      <c r="O79" s="4" t="n">
        <f aca="false">IFERROR(INDEX(Weights!$B$5:$B$17,MATCH(F79,Weights!$A$5:$A$17,0)),0)</f>
        <v>0</v>
      </c>
      <c r="P79" s="4" t="n">
        <f aca="false">IFERROR(INDEX(Weights!$B$21:$B$23,MATCH(I79,Weights!$A$21:$A$23,0)),0)</f>
        <v>0.7</v>
      </c>
      <c r="Q79" s="4" t="n">
        <f aca="false">IF(L79&lt;&gt;"",IFERROR(INDEX(Weights!$B$33:$B$36,MATCH(L79,Weights!$A$33:$A$36,0)),0),IFERROR(INDEX(Weights!$B$27:$B$29,MATCH(K79,Weights!$A$27:$A$29,0)),0))</f>
        <v>0.1</v>
      </c>
      <c r="R79" s="20" t="n">
        <f aca="false">N79*O79*P79*Q79</f>
        <v>0</v>
      </c>
      <c r="S79" s="18" t="s">
        <v>234</v>
      </c>
    </row>
    <row r="80" customFormat="false" ht="26.85" hidden="false" customHeight="false" outlineLevel="0" collapsed="false">
      <c r="A80" s="18" t="s">
        <v>497</v>
      </c>
      <c r="B80" s="18"/>
      <c r="C80" s="18" t="s">
        <v>460</v>
      </c>
      <c r="D80" s="18" t="s">
        <v>498</v>
      </c>
      <c r="E80" s="18" t="s">
        <v>499</v>
      </c>
      <c r="F80" s="18" t="s">
        <v>42</v>
      </c>
      <c r="G80" s="18" t="s">
        <v>163</v>
      </c>
      <c r="H80" s="18" t="s">
        <v>36</v>
      </c>
      <c r="I80" s="18" t="s">
        <v>52</v>
      </c>
      <c r="J80" s="18" t="s">
        <v>386</v>
      </c>
      <c r="K80" s="18" t="s">
        <v>124</v>
      </c>
      <c r="L80" s="19"/>
      <c r="M80" s="18"/>
      <c r="N80" s="4" t="n">
        <f aca="false">IF(OR(M80&lt;&gt;"",F80="X",F80="O",F80="Q"),0,1)</f>
        <v>1</v>
      </c>
      <c r="O80" s="4" t="n">
        <f aca="false">IFERROR(INDEX(Weights!$B$5:$B$17,MATCH(F80,Weights!$A$5:$A$17,0)),0)</f>
        <v>0.25</v>
      </c>
      <c r="P80" s="4" t="n">
        <f aca="false">IFERROR(INDEX(Weights!$B$21:$B$23,MATCH(I80,Weights!$A$21:$A$23,0)),0)</f>
        <v>0.7</v>
      </c>
      <c r="Q80" s="4" t="n">
        <f aca="false">IF(L80&lt;&gt;"",IFERROR(INDEX(Weights!$B$33:$B$36,MATCH(L80,Weights!$A$33:$A$36,0)),0),IFERROR(INDEX(Weights!$B$27:$B$29,MATCH(K80,Weights!$A$27:$A$29,0)),0))</f>
        <v>0.5</v>
      </c>
      <c r="R80" s="20" t="n">
        <f aca="false">N80*O80*P80*Q80</f>
        <v>0.0875</v>
      </c>
      <c r="S80" s="18"/>
    </row>
    <row r="81" customFormat="false" ht="26.85" hidden="false" customHeight="false" outlineLevel="0" collapsed="false">
      <c r="A81" s="18" t="s">
        <v>500</v>
      </c>
      <c r="B81" s="18"/>
      <c r="C81" s="18" t="s">
        <v>447</v>
      </c>
      <c r="D81" s="18" t="s">
        <v>501</v>
      </c>
      <c r="E81" s="18" t="s">
        <v>502</v>
      </c>
      <c r="F81" s="18" t="s">
        <v>38</v>
      </c>
      <c r="G81" s="18" t="s">
        <v>163</v>
      </c>
      <c r="H81" s="18" t="s">
        <v>36</v>
      </c>
      <c r="I81" s="18" t="s">
        <v>52</v>
      </c>
      <c r="J81" s="18" t="s">
        <v>503</v>
      </c>
      <c r="K81" s="18" t="s">
        <v>124</v>
      </c>
      <c r="L81" s="19"/>
      <c r="M81" s="18"/>
      <c r="N81" s="4" t="n">
        <f aca="false">IF(OR(M81&lt;&gt;"",F81="X",F81="O",F81="Q"),0,1)</f>
        <v>1</v>
      </c>
      <c r="O81" s="4" t="n">
        <f aca="false">IFERROR(INDEX(Weights!$B$5:$B$17,MATCH(F81,Weights!$A$5:$A$17,0)),0)</f>
        <v>2</v>
      </c>
      <c r="P81" s="4" t="n">
        <f aca="false">IFERROR(INDEX(Weights!$B$21:$B$23,MATCH(I81,Weights!$A$21:$A$23,0)),0)</f>
        <v>0.7</v>
      </c>
      <c r="Q81" s="4" t="n">
        <f aca="false">IF(L81&lt;&gt;"",IFERROR(INDEX(Weights!$B$33:$B$36,MATCH(L81,Weights!$A$33:$A$36,0)),0),IFERROR(INDEX(Weights!$B$27:$B$29,MATCH(K81,Weights!$A$27:$A$29,0)),0))</f>
        <v>0.5</v>
      </c>
      <c r="R81" s="20" t="n">
        <f aca="false">N81*O81*P81*Q81</f>
        <v>0.7</v>
      </c>
      <c r="S81" s="18"/>
    </row>
    <row r="82" customFormat="false" ht="26.85" hidden="false" customHeight="false" outlineLevel="0" collapsed="false">
      <c r="A82" s="18" t="s">
        <v>504</v>
      </c>
      <c r="B82" s="18"/>
      <c r="C82" s="18" t="s">
        <v>460</v>
      </c>
      <c r="D82" s="18" t="s">
        <v>498</v>
      </c>
      <c r="E82" s="18" t="s">
        <v>505</v>
      </c>
      <c r="F82" s="18" t="s">
        <v>42</v>
      </c>
      <c r="G82" s="18" t="s">
        <v>163</v>
      </c>
      <c r="H82" s="18" t="s">
        <v>36</v>
      </c>
      <c r="I82" s="18" t="s">
        <v>52</v>
      </c>
      <c r="J82" s="18" t="s">
        <v>458</v>
      </c>
      <c r="K82" s="18" t="s">
        <v>124</v>
      </c>
      <c r="L82" s="19"/>
      <c r="M82" s="18"/>
      <c r="N82" s="4" t="n">
        <f aca="false">IF(OR(M82&lt;&gt;"",F82="X",F82="O",F82="Q"),0,1)</f>
        <v>1</v>
      </c>
      <c r="O82" s="4" t="n">
        <f aca="false">IFERROR(INDEX(Weights!$B$5:$B$17,MATCH(F82,Weights!$A$5:$A$17,0)),0)</f>
        <v>0.25</v>
      </c>
      <c r="P82" s="4" t="n">
        <f aca="false">IFERROR(INDEX(Weights!$B$21:$B$23,MATCH(I82,Weights!$A$21:$A$23,0)),0)</f>
        <v>0.7</v>
      </c>
      <c r="Q82" s="4" t="n">
        <f aca="false">IF(L82&lt;&gt;"",IFERROR(INDEX(Weights!$B$33:$B$36,MATCH(L82,Weights!$A$33:$A$36,0)),0),IFERROR(INDEX(Weights!$B$27:$B$29,MATCH(K82,Weights!$A$27:$A$29,0)),0))</f>
        <v>0.5</v>
      </c>
      <c r="R82" s="20" t="n">
        <f aca="false">N82*O82*P82*Q82</f>
        <v>0.0875</v>
      </c>
      <c r="S82" s="18"/>
    </row>
    <row r="83" customFormat="false" ht="26.85" hidden="false" customHeight="false" outlineLevel="0" collapsed="false">
      <c r="A83" s="18" t="s">
        <v>506</v>
      </c>
      <c r="B83" s="18"/>
      <c r="C83" s="18" t="s">
        <v>219</v>
      </c>
      <c r="D83" s="18" t="s">
        <v>507</v>
      </c>
      <c r="E83" s="18" t="s">
        <v>508</v>
      </c>
      <c r="F83" s="18" t="s">
        <v>110</v>
      </c>
      <c r="G83" s="18" t="s">
        <v>185</v>
      </c>
      <c r="H83" s="18" t="s">
        <v>222</v>
      </c>
      <c r="I83" s="18" t="s">
        <v>52</v>
      </c>
      <c r="J83" s="18" t="s">
        <v>458</v>
      </c>
      <c r="K83" s="18" t="s">
        <v>128</v>
      </c>
      <c r="L83" s="19"/>
      <c r="M83" s="18"/>
      <c r="N83" s="4" t="n">
        <f aca="false">IF(OR(M83&lt;&gt;"",F83="X",F83="O",F83="Q"),0,1)</f>
        <v>0</v>
      </c>
      <c r="O83" s="4" t="n">
        <f aca="false">IFERROR(INDEX(Weights!$B$5:$B$17,MATCH(F83,Weights!$A$5:$A$17,0)),0)</f>
        <v>0</v>
      </c>
      <c r="P83" s="4" t="n">
        <f aca="false">IFERROR(INDEX(Weights!$B$21:$B$23,MATCH(I83,Weights!$A$21:$A$23,0)),0)</f>
        <v>0.7</v>
      </c>
      <c r="Q83" s="4" t="n">
        <f aca="false">IF(L83&lt;&gt;"",IFERROR(INDEX(Weights!$B$33:$B$36,MATCH(L83,Weights!$A$33:$A$36,0)),0),IFERROR(INDEX(Weights!$B$27:$B$29,MATCH(K83,Weights!$A$27:$A$29,0)),0))</f>
        <v>0.1</v>
      </c>
      <c r="R83" s="20" t="n">
        <f aca="false">N83*O83*P83*Q83</f>
        <v>0</v>
      </c>
      <c r="S83" s="18" t="s">
        <v>234</v>
      </c>
    </row>
    <row r="84" customFormat="false" ht="26.85" hidden="false" customHeight="false" outlineLevel="0" collapsed="false">
      <c r="A84" s="18" t="s">
        <v>509</v>
      </c>
      <c r="B84" s="18"/>
      <c r="C84" s="18" t="s">
        <v>510</v>
      </c>
      <c r="D84" s="18" t="s">
        <v>507</v>
      </c>
      <c r="E84" s="18" t="s">
        <v>511</v>
      </c>
      <c r="F84" s="18" t="s">
        <v>110</v>
      </c>
      <c r="G84" s="18" t="s">
        <v>163</v>
      </c>
      <c r="H84" s="18" t="s">
        <v>222</v>
      </c>
      <c r="I84" s="18" t="s">
        <v>51</v>
      </c>
      <c r="J84" s="18" t="s">
        <v>512</v>
      </c>
      <c r="K84" s="18" t="s">
        <v>124</v>
      </c>
      <c r="L84" s="19"/>
      <c r="M84" s="18"/>
      <c r="N84" s="4" t="n">
        <f aca="false">IF(OR(M84&lt;&gt;"",F84="X",F84="O",F84="Q"),0,1)</f>
        <v>0</v>
      </c>
      <c r="O84" s="4" t="n">
        <f aca="false">IFERROR(INDEX(Weights!$B$5:$B$17,MATCH(F84,Weights!$A$5:$A$17,0)),0)</f>
        <v>0</v>
      </c>
      <c r="P84" s="4" t="n">
        <f aca="false">IFERROR(INDEX(Weights!$B$21:$B$23,MATCH(I84,Weights!$A$21:$A$23,0)),0)</f>
        <v>1</v>
      </c>
      <c r="Q84" s="4" t="n">
        <f aca="false">IF(L84&lt;&gt;"",IFERROR(INDEX(Weights!$B$33:$B$36,MATCH(L84,Weights!$A$33:$A$36,0)),0),IFERROR(INDEX(Weights!$B$27:$B$29,MATCH(K84,Weights!$A$27:$A$29,0)),0))</f>
        <v>0.5</v>
      </c>
      <c r="R84" s="20" t="n">
        <f aca="false">N84*O84*P84*Q84</f>
        <v>0</v>
      </c>
      <c r="S84" s="18" t="s">
        <v>234</v>
      </c>
    </row>
    <row r="85" customFormat="false" ht="26.85" hidden="false" customHeight="false" outlineLevel="0" collapsed="false">
      <c r="A85" s="18" t="s">
        <v>513</v>
      </c>
      <c r="B85" s="18"/>
      <c r="C85" s="18" t="s">
        <v>370</v>
      </c>
      <c r="D85" s="18" t="s">
        <v>514</v>
      </c>
      <c r="E85" s="18" t="s">
        <v>515</v>
      </c>
      <c r="F85" s="18" t="s">
        <v>42</v>
      </c>
      <c r="G85" s="18" t="s">
        <v>163</v>
      </c>
      <c r="H85" s="18" t="s">
        <v>36</v>
      </c>
      <c r="I85" s="18" t="s">
        <v>40</v>
      </c>
      <c r="J85" s="18" t="s">
        <v>516</v>
      </c>
      <c r="K85" s="18" t="s">
        <v>126</v>
      </c>
      <c r="L85" s="19"/>
      <c r="M85" s="18"/>
      <c r="N85" s="4" t="n">
        <f aca="false">IF(OR(M85&lt;&gt;"",F85="X",F85="O",F85="Q"),0,1)</f>
        <v>1</v>
      </c>
      <c r="O85" s="4" t="n">
        <f aca="false">IFERROR(INDEX(Weights!$B$5:$B$17,MATCH(F85,Weights!$A$5:$A$17,0)),0)</f>
        <v>0.25</v>
      </c>
      <c r="P85" s="4" t="n">
        <f aca="false">IFERROR(INDEX(Weights!$B$21:$B$23,MATCH(I85,Weights!$A$21:$A$23,0)),0)</f>
        <v>0.4</v>
      </c>
      <c r="Q85" s="4" t="n">
        <f aca="false">IF(L85&lt;&gt;"",IFERROR(INDEX(Weights!$B$33:$B$36,MATCH(L85,Weights!$A$33:$A$36,0)),0),IFERROR(INDEX(Weights!$B$27:$B$29,MATCH(K85,Weights!$A$27:$A$29,0)),0))</f>
        <v>0.25</v>
      </c>
      <c r="R85" s="20" t="n">
        <f aca="false">N85*O85*P85*Q85</f>
        <v>0.025</v>
      </c>
      <c r="S85" s="18" t="s">
        <v>517</v>
      </c>
    </row>
    <row r="86" customFormat="false" ht="39.55" hidden="false" customHeight="false" outlineLevel="0" collapsed="false">
      <c r="A86" s="18" t="s">
        <v>518</v>
      </c>
      <c r="B86" s="18"/>
      <c r="C86" s="18" t="s">
        <v>431</v>
      </c>
      <c r="D86" s="18" t="s">
        <v>514</v>
      </c>
      <c r="E86" s="18" t="s">
        <v>519</v>
      </c>
      <c r="F86" s="18" t="s">
        <v>42</v>
      </c>
      <c r="G86" s="18" t="s">
        <v>163</v>
      </c>
      <c r="H86" s="18" t="s">
        <v>36</v>
      </c>
      <c r="I86" s="18" t="s">
        <v>52</v>
      </c>
      <c r="J86" s="18" t="s">
        <v>458</v>
      </c>
      <c r="K86" s="18" t="s">
        <v>124</v>
      </c>
      <c r="L86" s="19"/>
      <c r="M86" s="18" t="s">
        <v>430</v>
      </c>
      <c r="N86" s="4" t="n">
        <f aca="false">IF(OR(M86&lt;&gt;"",F86="X",F86="O",F86="Q"),0,1)</f>
        <v>0</v>
      </c>
      <c r="O86" s="4" t="n">
        <f aca="false">IFERROR(INDEX(Weights!$B$5:$B$17,MATCH(F86,Weights!$A$5:$A$17,0)),0)</f>
        <v>0.25</v>
      </c>
      <c r="P86" s="4" t="n">
        <f aca="false">IFERROR(INDEX(Weights!$B$21:$B$23,MATCH(I86,Weights!$A$21:$A$23,0)),0)</f>
        <v>0.7</v>
      </c>
      <c r="Q86" s="4" t="n">
        <f aca="false">IF(L86&lt;&gt;"",IFERROR(INDEX(Weights!$B$33:$B$36,MATCH(L86,Weights!$A$33:$A$36,0)),0),IFERROR(INDEX(Weights!$B$27:$B$29,MATCH(K86,Weights!$A$27:$A$29,0)),0))</f>
        <v>0.5</v>
      </c>
      <c r="R86" s="20" t="n">
        <f aca="false">N86*O86*P86*Q86</f>
        <v>0</v>
      </c>
      <c r="S86" s="18" t="s">
        <v>520</v>
      </c>
    </row>
    <row r="87" customFormat="false" ht="15" hidden="false" customHeight="false" outlineLevel="0" collapsed="false">
      <c r="A87" s="18" t="s">
        <v>521</v>
      </c>
      <c r="B87" s="18"/>
      <c r="C87" s="18" t="s">
        <v>456</v>
      </c>
      <c r="D87" s="18" t="s">
        <v>353</v>
      </c>
      <c r="E87" s="18" t="s">
        <v>522</v>
      </c>
      <c r="F87" s="18" t="s">
        <v>113</v>
      </c>
      <c r="G87" s="18" t="s">
        <v>178</v>
      </c>
      <c r="H87" s="18" t="s">
        <v>36</v>
      </c>
      <c r="I87" s="18" t="s">
        <v>52</v>
      </c>
      <c r="J87" s="18" t="s">
        <v>458</v>
      </c>
      <c r="K87" s="18" t="s">
        <v>124</v>
      </c>
      <c r="L87" s="19"/>
      <c r="M87" s="18"/>
      <c r="N87" s="4" t="n">
        <f aca="false">IF(OR(M87&lt;&gt;"",F87="X",F87="O",F87="Q"),0,1)</f>
        <v>0</v>
      </c>
      <c r="O87" s="4" t="n">
        <f aca="false">IFERROR(INDEX(Weights!$B$5:$B$17,MATCH(F87,Weights!$A$5:$A$17,0)),0)</f>
        <v>0</v>
      </c>
      <c r="P87" s="4" t="n">
        <f aca="false">IFERROR(INDEX(Weights!$B$21:$B$23,MATCH(I87,Weights!$A$21:$A$23,0)),0)</f>
        <v>0.7</v>
      </c>
      <c r="Q87" s="4" t="n">
        <f aca="false">IF(L87&lt;&gt;"",IFERROR(INDEX(Weights!$B$33:$B$36,MATCH(L87,Weights!$A$33:$A$36,0)),0),IFERROR(INDEX(Weights!$B$27:$B$29,MATCH(K87,Weights!$A$27:$A$29,0)),0))</f>
        <v>0.5</v>
      </c>
      <c r="R87" s="20" t="n">
        <f aca="false">N87*O87*P87*Q87</f>
        <v>0</v>
      </c>
      <c r="S87" s="18" t="s">
        <v>350</v>
      </c>
    </row>
    <row r="88" customFormat="false" ht="26.85" hidden="false" customHeight="false" outlineLevel="0" collapsed="false">
      <c r="A88" s="18" t="s">
        <v>523</v>
      </c>
      <c r="B88" s="18" t="s">
        <v>159</v>
      </c>
      <c r="C88" s="18" t="s">
        <v>524</v>
      </c>
      <c r="D88" s="18" t="s">
        <v>525</v>
      </c>
      <c r="E88" s="18" t="s">
        <v>526</v>
      </c>
      <c r="F88" s="18" t="s">
        <v>42</v>
      </c>
      <c r="G88" s="18" t="s">
        <v>178</v>
      </c>
      <c r="H88" s="18" t="s">
        <v>36</v>
      </c>
      <c r="I88" s="18" t="s">
        <v>52</v>
      </c>
      <c r="J88" s="18" t="s">
        <v>458</v>
      </c>
      <c r="K88" s="18" t="s">
        <v>124</v>
      </c>
      <c r="L88" s="19"/>
      <c r="M88" s="18"/>
      <c r="N88" s="4" t="n">
        <f aca="false">IF(OR(M88&lt;&gt;"",F88="X",F88="O",F88="Q"),0,1)</f>
        <v>1</v>
      </c>
      <c r="O88" s="4" t="n">
        <f aca="false">IFERROR(INDEX(Weights!$B$5:$B$17,MATCH(F88,Weights!$A$5:$A$17,0)),0)</f>
        <v>0.25</v>
      </c>
      <c r="P88" s="4" t="n">
        <f aca="false">IFERROR(INDEX(Weights!$B$21:$B$23,MATCH(I88,Weights!$A$21:$A$23,0)),0)</f>
        <v>0.7</v>
      </c>
      <c r="Q88" s="4" t="n">
        <f aca="false">IF(L88&lt;&gt;"",IFERROR(INDEX(Weights!$B$33:$B$36,MATCH(L88,Weights!$A$33:$A$36,0)),0),IFERROR(INDEX(Weights!$B$27:$B$29,MATCH(K88,Weights!$A$27:$A$29,0)),0))</f>
        <v>0.5</v>
      </c>
      <c r="R88" s="20" t="n">
        <f aca="false">N88*O88*P88*Q88</f>
        <v>0.0875</v>
      </c>
      <c r="S88" s="18"/>
    </row>
  </sheetData>
  <autoFilter ref="A1:S88"/>
  <dataValidations count="4">
    <dataValidation allowBlank="true" errorStyle="stop" operator="between" showDropDown="false" showErrorMessage="false" showInputMessage="false" sqref="L2:L188" type="list">
      <formula1>"No,definitely not,Probably not,Yes,but later or smaller,Yes,the same anyway"</formula1>
      <formula2>0</formula2>
    </dataValidation>
    <dataValidation allowBlank="true" errorStyle="stop" operator="between" showDropDown="false" showErrorMessage="false" showInputMessage="false" sqref="I2:I188" type="list">
      <formula1>"A,B,C"</formula1>
      <formula2>0</formula2>
    </dataValidation>
    <dataValidation allowBlank="true" errorStyle="stop" operator="between" showDropDown="false" showErrorMessage="false" showInputMessage="false" sqref="K2:K188" type="list">
      <formula1>"Direct,Contributing,Unclear"</formula1>
      <formula2>0</formula2>
    </dataValidation>
    <dataValidation allowBlank="true" errorStyle="stop" operator="between" showDropDown="false" showErrorMessage="false" showInputMessage="false" sqref="F2:F188" type="list">
      <formula1>"S1,S2,S3,S4,J,N,L,C,V,R,X,O,Q"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7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46"/>
    <col collapsed="false" customWidth="true" hidden="false" outlineLevel="0" max="7" min="7" style="0" width="10"/>
    <col collapsed="false" customWidth="true" hidden="false" outlineLevel="0" max="10" min="8" style="0" width="9"/>
    <col collapsed="false" customWidth="true" hidden="false" outlineLevel="0" max="11" min="11" style="0" width="13"/>
  </cols>
  <sheetData>
    <row r="1" customFormat="false" ht="52.2" hidden="false" customHeight="false" outlineLevel="0" collapsed="false">
      <c r="A1" s="5" t="s">
        <v>140</v>
      </c>
      <c r="B1" s="5" t="s">
        <v>145</v>
      </c>
      <c r="C1" s="5" t="s">
        <v>527</v>
      </c>
      <c r="D1" s="5" t="s">
        <v>528</v>
      </c>
      <c r="E1" s="5" t="s">
        <v>148</v>
      </c>
      <c r="F1" s="5" t="s">
        <v>529</v>
      </c>
      <c r="G1" s="5" t="s">
        <v>150</v>
      </c>
      <c r="H1" s="5" t="s">
        <v>154</v>
      </c>
      <c r="I1" s="5" t="s">
        <v>155</v>
      </c>
      <c r="J1" s="5" t="s">
        <v>156</v>
      </c>
      <c r="K1" s="5" t="s">
        <v>24</v>
      </c>
    </row>
    <row r="2" customFormat="false" ht="26.85" hidden="false" customHeight="false" outlineLevel="0" collapsed="false">
      <c r="A2" s="18" t="s">
        <v>172</v>
      </c>
      <c r="B2" s="18" t="s">
        <v>26</v>
      </c>
      <c r="C2" s="18" t="s">
        <v>530</v>
      </c>
      <c r="D2" s="18" t="n">
        <v>47</v>
      </c>
      <c r="E2" s="18" t="s">
        <v>51</v>
      </c>
      <c r="F2" s="18" t="s">
        <v>531</v>
      </c>
      <c r="G2" s="18" t="s">
        <v>124</v>
      </c>
      <c r="H2" s="4" t="n">
        <f aca="false">IFERROR(INDEX(Weights!$B$5:$B$17,MATCH(B2,Weights!$A$5:$A$17,0)),0)</f>
        <v>1</v>
      </c>
      <c r="I2" s="4" t="n">
        <f aca="false">IFERROR(INDEX(Weights!$B$21:$B$23,MATCH(E2,Weights!$A$21:$A$23,0)),0)</f>
        <v>1</v>
      </c>
      <c r="J2" s="4" t="n">
        <f aca="false">IFERROR(INDEX(Weights!$B$27:$B$29,MATCH(G2,Weights!$A$27:$A$29,0)),0)</f>
        <v>0.5</v>
      </c>
      <c r="K2" s="20" t="n">
        <f aca="false">D2*H2*I2*J2</f>
        <v>23.5</v>
      </c>
    </row>
    <row r="3" customFormat="false" ht="26.85" hidden="false" customHeight="false" outlineLevel="0" collapsed="false">
      <c r="A3" s="18" t="s">
        <v>532</v>
      </c>
      <c r="B3" s="18" t="s">
        <v>40</v>
      </c>
      <c r="C3" s="18" t="s">
        <v>533</v>
      </c>
      <c r="D3" s="18" t="n">
        <v>73</v>
      </c>
      <c r="E3" s="18" t="s">
        <v>51</v>
      </c>
      <c r="F3" s="18" t="s">
        <v>534</v>
      </c>
      <c r="G3" s="18" t="s">
        <v>124</v>
      </c>
      <c r="H3" s="4" t="n">
        <f aca="false">IFERROR(INDEX(Weights!$B$5:$B$17,MATCH(B3,Weights!$A$5:$A$17,0)),0)</f>
        <v>0.5</v>
      </c>
      <c r="I3" s="4" t="n">
        <f aca="false">IFERROR(INDEX(Weights!$B$21:$B$23,MATCH(E3,Weights!$A$21:$A$23,0)),0)</f>
        <v>1</v>
      </c>
      <c r="J3" s="4" t="n">
        <f aca="false">IFERROR(INDEX(Weights!$B$27:$B$29,MATCH(G3,Weights!$A$27:$A$29,0)),0)</f>
        <v>0.5</v>
      </c>
      <c r="K3" s="20" t="n">
        <f aca="false">D3*H3*I3*J3</f>
        <v>18.25</v>
      </c>
    </row>
    <row r="4" customFormat="false" ht="26.85" hidden="false" customHeight="false" outlineLevel="0" collapsed="false">
      <c r="A4" s="18" t="s">
        <v>535</v>
      </c>
      <c r="B4" s="18" t="s">
        <v>38</v>
      </c>
      <c r="C4" s="18" t="s">
        <v>536</v>
      </c>
      <c r="D4" s="18" t="n">
        <v>5</v>
      </c>
      <c r="E4" s="18" t="s">
        <v>40</v>
      </c>
      <c r="F4" s="18" t="s">
        <v>537</v>
      </c>
      <c r="G4" s="18" t="s">
        <v>124</v>
      </c>
      <c r="H4" s="4" t="n">
        <f aca="false">IFERROR(INDEX(Weights!$B$5:$B$17,MATCH(B4,Weights!$A$5:$A$17,0)),0)</f>
        <v>2</v>
      </c>
      <c r="I4" s="4" t="n">
        <f aca="false">IFERROR(INDEX(Weights!$B$21:$B$23,MATCH(E4,Weights!$A$21:$A$23,0)),0)</f>
        <v>0.4</v>
      </c>
      <c r="J4" s="4" t="n">
        <f aca="false">IFERROR(INDEX(Weights!$B$27:$B$29,MATCH(G4,Weights!$A$27:$A$29,0)),0)</f>
        <v>0.5</v>
      </c>
      <c r="K4" s="20" t="n">
        <f aca="false">D4*H4*I4*J4</f>
        <v>2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3" t="s">
        <v>538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15" hidden="false" customHeight="false" outlineLevel="0" collapsed="false">
      <c r="A8" s="4"/>
      <c r="B8" s="4"/>
      <c r="C8" s="4" t="s">
        <v>539</v>
      </c>
      <c r="D8" s="4" t="n">
        <v>71</v>
      </c>
      <c r="E8" s="4"/>
      <c r="F8" s="4"/>
      <c r="G8" s="4"/>
      <c r="H8" s="4"/>
      <c r="I8" s="4"/>
      <c r="J8" s="4"/>
      <c r="K8" s="4"/>
    </row>
    <row r="9" customFormat="false" ht="15" hidden="false" customHeight="false" outlineLevel="0" collapsed="false">
      <c r="A9" s="4"/>
      <c r="B9" s="4"/>
      <c r="C9" s="4" t="s">
        <v>540</v>
      </c>
      <c r="D9" s="4" t="n">
        <v>163</v>
      </c>
      <c r="E9" s="4"/>
      <c r="F9" s="4"/>
      <c r="G9" s="4"/>
      <c r="H9" s="4"/>
      <c r="I9" s="4"/>
      <c r="J9" s="4"/>
      <c r="K9" s="4"/>
    </row>
    <row r="10" customFormat="false" ht="15" hidden="false" customHeight="false" outlineLevel="0" collapsed="false">
      <c r="A10" s="4"/>
      <c r="B10" s="4"/>
      <c r="C10" s="4" t="s">
        <v>541</v>
      </c>
      <c r="D10" s="4" t="n">
        <v>643</v>
      </c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4"/>
      <c r="B11" s="4"/>
      <c r="C11" s="4" t="s">
        <v>542</v>
      </c>
      <c r="D11" s="4" t="n">
        <v>75</v>
      </c>
      <c r="E11" s="4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4"/>
      <c r="B12" s="4"/>
      <c r="C12" s="4" t="s">
        <v>543</v>
      </c>
      <c r="D12" s="4" t="n">
        <v>46</v>
      </c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customFormat="false" ht="15" hidden="false" customHeight="false" outlineLevel="0" collapsed="false">
      <c r="A14" s="4"/>
      <c r="B14" s="4"/>
      <c r="C14" s="4" t="s">
        <v>544</v>
      </c>
      <c r="D14" s="4"/>
      <c r="E14" s="4"/>
      <c r="F14" s="4"/>
      <c r="G14" s="4"/>
      <c r="H14" s="4"/>
      <c r="I14" s="4"/>
      <c r="J14" s="4"/>
      <c r="K1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545</v>
      </c>
      <c r="B1" s="4"/>
      <c r="C1" s="4"/>
      <c r="D1" s="4"/>
    </row>
    <row r="2" customFormat="false" ht="15" hidden="false" customHeight="false" outlineLevel="0" collapsed="false">
      <c r="A2" s="4"/>
      <c r="B2" s="4"/>
      <c r="C2" s="4"/>
      <c r="D2" s="4"/>
    </row>
    <row r="3" customFormat="false" ht="15" hidden="false" customHeight="false" outlineLevel="0" collapsed="false">
      <c r="A3" s="5" t="s">
        <v>546</v>
      </c>
      <c r="B3" s="5" t="s">
        <v>547</v>
      </c>
      <c r="C3" s="5" t="s">
        <v>548</v>
      </c>
      <c r="D3" s="5" t="s">
        <v>549</v>
      </c>
    </row>
    <row r="4" customFormat="false" ht="26.85" hidden="false" customHeight="false" outlineLevel="0" collapsed="false">
      <c r="A4" s="18" t="n">
        <v>1</v>
      </c>
      <c r="B4" s="18" t="s">
        <v>550</v>
      </c>
      <c r="C4" s="18" t="s">
        <v>551</v>
      </c>
      <c r="D4" s="18" t="s">
        <v>552</v>
      </c>
    </row>
    <row r="5" customFormat="false" ht="52.2" hidden="false" customHeight="false" outlineLevel="0" collapsed="false">
      <c r="A5" s="18" t="n">
        <v>2</v>
      </c>
      <c r="B5" s="18" t="s">
        <v>553</v>
      </c>
      <c r="C5" s="18" t="s">
        <v>554</v>
      </c>
      <c r="D5" s="18" t="s">
        <v>555</v>
      </c>
    </row>
    <row r="6" customFormat="false" ht="15" hidden="false" customHeight="false" outlineLevel="0" collapsed="false">
      <c r="A6" s="18" t="n">
        <v>3</v>
      </c>
      <c r="B6" s="18" t="s">
        <v>556</v>
      </c>
      <c r="C6" s="18" t="s">
        <v>557</v>
      </c>
      <c r="D6" s="18" t="s">
        <v>558</v>
      </c>
    </row>
    <row r="7" customFormat="false" ht="26.85" hidden="false" customHeight="false" outlineLevel="0" collapsed="false">
      <c r="A7" s="18" t="n">
        <v>4</v>
      </c>
      <c r="B7" s="18" t="s">
        <v>559</v>
      </c>
      <c r="C7" s="18" t="s">
        <v>560</v>
      </c>
      <c r="D7" s="18" t="s">
        <v>561</v>
      </c>
    </row>
    <row r="8" customFormat="false" ht="26.85" hidden="false" customHeight="false" outlineLevel="0" collapsed="false">
      <c r="A8" s="18" t="n">
        <v>5</v>
      </c>
      <c r="B8" s="18" t="s">
        <v>562</v>
      </c>
      <c r="C8" s="18" t="s">
        <v>563</v>
      </c>
      <c r="D8" s="18" t="s">
        <v>564</v>
      </c>
    </row>
    <row r="9" customFormat="false" ht="15" hidden="false" customHeight="false" outlineLevel="0" collapsed="false">
      <c r="A9" s="4"/>
      <c r="B9" s="4"/>
      <c r="C9" s="4"/>
      <c r="D9" s="4"/>
    </row>
    <row r="10" customFormat="false" ht="15" hidden="false" customHeight="false" outlineLevel="0" collapsed="false">
      <c r="A10" s="4" t="s">
        <v>565</v>
      </c>
      <c r="B10" s="4"/>
      <c r="C10" s="4"/>
      <c r="D1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2026-10-28T16:51:39Z</dcterms:created>
  <dc:creator>openpyxl</dc:creator>
  <dc:description/>
  <dc:language>en-US</dc:language>
  <cp:lastModifiedBy/>
  <dcterms:modified xsi:type="dcterms:W3CDTF">2026-10-28T16:51:39Z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